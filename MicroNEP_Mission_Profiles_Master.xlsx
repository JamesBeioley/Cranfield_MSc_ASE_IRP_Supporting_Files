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jamesbeioley/Documents/Cranfield/IRP/Perpetual Magdrive/Report/"/>
    </mc:Choice>
  </mc:AlternateContent>
  <xr:revisionPtr revIDLastSave="0" documentId="13_ncr:1_{AC13D318-83E2-524F-ADF5-4C03A82B9FAA}" xr6:coauthVersionLast="47" xr6:coauthVersionMax="47" xr10:uidLastSave="{00000000-0000-0000-0000-000000000000}"/>
  <bookViews>
    <workbookView xWindow="0" yWindow="680" windowWidth="29760" windowHeight="17160" tabRatio="500" activeTab="1" xr2:uid="{00000000-000D-0000-FFFF-FFFF00000000}"/>
  </bookViews>
  <sheets>
    <sheet name="README" sheetId="1" r:id="rId1"/>
    <sheet name="Mission Profiles" sheetId="2" r:id="rId2"/>
    <sheet name="Bibliography" sheetId="3" r:id="rId3"/>
    <sheet name="ΔV Bandin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44" i="2" l="1"/>
  <c r="I43" i="2"/>
  <c r="I42" i="2"/>
  <c r="I41" i="2"/>
  <c r="I40" i="2"/>
  <c r="I38" i="2"/>
  <c r="I37" i="2"/>
  <c r="I36" i="2"/>
  <c r="I35" i="2"/>
  <c r="I34" i="2"/>
  <c r="I32" i="2"/>
  <c r="I31" i="2"/>
  <c r="I30" i="2"/>
  <c r="I29" i="2"/>
  <c r="I28" i="2"/>
  <c r="I26" i="2"/>
  <c r="I25" i="2"/>
  <c r="I24" i="2"/>
  <c r="I23" i="2"/>
  <c r="I22" i="2"/>
  <c r="I21" i="2"/>
  <c r="I20" i="2"/>
  <c r="I18" i="2"/>
  <c r="I17" i="2"/>
  <c r="I16" i="2"/>
  <c r="I15" i="2"/>
  <c r="I14" i="2"/>
  <c r="I13" i="2"/>
  <c r="I12" i="2"/>
  <c r="I11" i="2"/>
  <c r="I10" i="2"/>
  <c r="I9" i="2"/>
  <c r="I8" i="2"/>
  <c r="I7" i="2"/>
  <c r="I6" i="2"/>
</calcChain>
</file>

<file path=xl/sharedStrings.xml><?xml version="1.0" encoding="utf-8"?>
<sst xmlns="http://schemas.openxmlformats.org/spreadsheetml/2006/main" count="947" uniqueCount="699">
  <si>
    <t>Supporting dataset for Appendix C of the MSc thesis "MicroNEP: Micro-scale Nuclear Electric Propulsion on Radioisotope Power"</t>
  </si>
  <si>
    <t>Purpose</t>
  </si>
  <si>
    <t>The 35 candidate mission profiles screened in Chapter 6 of the thesis, with the ΔV, mass and lifetime assumptions behind each, the resulting total-impulse requirement, and full source attribution. Each profile is a representative point, not a designed mission.</t>
  </si>
  <si>
    <t>Contents</t>
  </si>
  <si>
    <t>Mission Profiles</t>
  </si>
  <si>
    <t>The 35 profiles, grouped by domain and ordered by Ref #. Sources given as keys into the Bibliography sheet.</t>
  </si>
  <si>
    <t>Bibliography</t>
  </si>
  <si>
    <t>Full reference for every source key, with a status column flagging entries that require verification.</t>
  </si>
  <si>
    <t>ΔV Banding</t>
  </si>
  <si>
    <t>Summary grouping of the profiles into low, medium and high ΔV classes.</t>
  </si>
  <si>
    <t>Column definitions</t>
  </si>
  <si>
    <t>Ref #</t>
  </si>
  <si>
    <t>Ties the row to the labelled point in the thesis Figure 28 scatter (squares = core ten; circles = deep dives).</t>
  </si>
  <si>
    <t>Typical ΔV (m/s/yr)</t>
  </si>
  <si>
    <t>Annual ΔV rate where the requirement is continuous. Blank where the requirement is a one-off manoeuvre.</t>
  </si>
  <si>
    <t>Ops lifetime (yr)</t>
  </si>
  <si>
    <t>Representative operating duration.</t>
  </si>
  <si>
    <t>Total ΔV (m/s)</t>
  </si>
  <si>
    <t>Envelope estimate across the mission class; it is a range, not a single design point.</t>
  </si>
  <si>
    <t>Typical S/C mass (kg)</t>
  </si>
  <si>
    <t>Envelope of spacecraft masses in this mission class.</t>
  </si>
  <si>
    <t>Rep. ΔV / Rep. mass</t>
  </si>
  <si>
    <t>The single-point values carried into the analysis. Chosen as representative of the class, not as its mean.</t>
  </si>
  <si>
    <t>Computed from the two representative values; see Method note below.</t>
  </si>
  <si>
    <t>Applicable thruster</t>
  </si>
  <si>
    <t>The Magdrive family variant best matched to the profile.</t>
  </si>
  <si>
    <t>RTG power advantage</t>
  </si>
  <si>
    <t>Graded assessment of what a radioisotope source contributes: Low / Moderate / Significant / Essential.</t>
  </si>
  <si>
    <t>Sources</t>
  </si>
  <si>
    <t>Keys into the Bibliography sheet. D01 denotes a first-principles derivation rather than an external source.</t>
  </si>
  <si>
    <t>Method note — representative total impulse</t>
  </si>
  <si>
    <t>Formula</t>
  </si>
  <si>
    <t>I = Isp·g0·m_sc·(1 − exp(−Δv / (Isp·g0))) at Isp = 1800 s, g0 = 9.80665 m/s².</t>
  </si>
  <si>
    <t>Basis</t>
  </si>
  <si>
    <t>Note</t>
  </si>
  <si>
    <t>Version</t>
  </si>
  <si>
    <t>Prepared</t>
  </si>
  <si>
    <t>August 2026</t>
  </si>
  <si>
    <t>Companion</t>
  </si>
  <si>
    <t>MicroNEP MATLAB toolkit, Extended_Profiles.m (see thesis Appendix B)</t>
  </si>
  <si>
    <t>Regime / Mission Type</t>
  </si>
  <si>
    <t>Typical ΔV
(m/s/yr)</t>
  </si>
  <si>
    <t>Ops lifetime
(yr)</t>
  </si>
  <si>
    <t>Total ΔV
(m/s)</t>
  </si>
  <si>
    <t>Typical S/C
mass (kg)</t>
  </si>
  <si>
    <t>Rep. ΔV
(m/s)</t>
  </si>
  <si>
    <t>Rep. mass
(kg)</t>
  </si>
  <si>
    <t>Notes / Rationale</t>
  </si>
  <si>
    <t>Applicable
thruster</t>
  </si>
  <si>
    <t>RTG power
advantage</t>
  </si>
  <si>
    <t>Earth Orbits</t>
  </si>
  <si>
    <t>LEO SK / phasing / CA</t>
  </si>
  <si>
    <t>2–10</t>
  </si>
  <si>
    <t>5–10</t>
  </si>
  <si>
    <t>10–100</t>
  </si>
  <si>
    <t>2–500</t>
  </si>
  <si>
    <t>Intermittent manoeuvres: slot maintenance, conjunction avoidance, phasing. Mass range from CubeSats (2–12 kg) to ~500 kg platforms. Solid-metal inert propellant removes the pressurised-tank hazard for densely packed mega-constellations.</t>
  </si>
  <si>
    <t>C04, D01</t>
  </si>
  <si>
    <t>Any</t>
  </si>
  <si>
    <t>Low  -  solar viable; solid-metal propellant safety is the primary differentiator</t>
  </si>
  <si>
    <t>VLEO drag comp. (~250–350 km)</t>
  </si>
  <si>
    <t>50–150</t>
  </si>
  <si>
    <t>1–5</t>
  </si>
  <si>
    <t>50–500</t>
  </si>
  <si>
    <t>10–500</t>
  </si>
  <si>
    <t>Continuous drag compensation; strongly altitude- and solar-cycle-dependent. GOCE (224–254 km) used extreme aerodynamic optimisation (β &gt; 2,000 kg/m²) to reach ~50–70 m/s/yr - a lower bound needing dedicated shaping. Typical small satellites (10–100 kg, β ~80–200 kg/m²) at 300–350 km see ~80–150 m/s/yr at moderate solar activity, rising above 250 m/s/yr at solar maximum or below 260 km. Representative 100 kg case: ~100 m/s/yr. Solar drag on deployed panels can exceed Solar drag on deployed panels can exceed the drag of the spacecraft body itself, which is a principal motivation for an array-free architecture in this regime.</t>
  </si>
  <si>
    <t>R03, R04, R06, R19</t>
  </si>
  <si>
    <t>Moderate  -  solar viable; RTG provides eclipse-independent ops and frees orientation constraints</t>
  </si>
  <si>
    <t>LEO deorbit (EoL)</t>
  </si>
  <si>
    <t>—</t>
  </si>
  <si>
    <t>days–weeks</t>
  </si>
  <si>
    <t>EoL disposal from circular LEO: ~50 m/s from ~500 km, up to ~150 m/s from ~700 km. Per the NASA ODMSP post-mission disposal rule.</t>
  </si>
  <si>
    <t>B02, S02, S03</t>
  </si>
  <si>
    <t>Low  -  solar viable at these altitudes</t>
  </si>
  <si>
    <t>LEO high-cadence constellation management</t>
  </si>
  <si>
    <t>50–200</t>
  </si>
  <si>
    <t>250–2000</t>
  </si>
  <si>
    <t>100–800</t>
  </si>
  <si>
    <t>Proactive slot-filling and high-cadence collision avoidance in mega-constellations (Starlink Gen2 ~800 kg). Warlock's inert solid-metal propellant eliminates pressurised-tank risk on a densely integrated bus; the 3 kg / 50 kJ form factor is competitive as a modular propulsion unit. Upper ΔV/yr assumes continuous active phasing across shell changes.</t>
  </si>
  <si>
    <t>B03, C02, C04</t>
  </si>
  <si>
    <t>Warlock</t>
  </si>
  <si>
    <t>Low  -  solar viable; inert propellant eliminates pressurised-tank risk in dense constellations</t>
  </si>
  <si>
    <t>MEO / GNSS SK</t>
  </si>
  <si>
    <t>10–15</t>
  </si>
  <si>
    <t>10–75</t>
  </si>
  <si>
    <t>700–1500</t>
  </si>
  <si>
    <t>Very stable gravitational environment; low annual ΔV. GPS Block III ≈830 kg; Galileo ≈730 kg.</t>
  </si>
  <si>
    <t>M19, M20</t>
  </si>
  <si>
    <t>Low  -  solar viable at MEO altitude</t>
  </si>
  <si>
    <t>MEO disposal (graveyard raise)</t>
  </si>
  <si>
    <t>GNSS graveyard orbit ±300 km above/below operational band per IADC guidelines.</t>
  </si>
  <si>
    <t>S01</t>
  </si>
  <si>
    <t>Low  -  solar viable; short-duration manoeuvre</t>
  </si>
  <si>
    <t>GEO stationkeeping (N–S + E–W)</t>
  </si>
  <si>
    <t>~50</t>
  </si>
  <si>
    <t>500–750</t>
  </si>
  <si>
    <t>2000–5000</t>
  </si>
  <si>
    <t>N–S SK ≈45–50 m/s/yr (luni-solar inclination drift ~0.85°/yr); E–W &lt;2 m/s/yr. The ~50 m/s/yr total is the industry-standard figure and represents ~95% of the GEO SK propellant budget.</t>
  </si>
  <si>
    <t>B01, B03</t>
  </si>
  <si>
    <t>SuperMagdrive</t>
  </si>
  <si>
    <t>Low  -  solar viable at GEO; SuperMag scale reduces RTG relevance</t>
  </si>
  <si>
    <t>GEO graveyard (EoL raise)</t>
  </si>
  <si>
    <t>days</t>
  </si>
  <si>
    <t>Raise ≥300 km above GEO. Actual ΔV 5–15 m/s depending on eccentricity at EoL.</t>
  </si>
  <si>
    <t>B01, B03, S01</t>
  </si>
  <si>
    <t>Commercial space station (module SK)</t>
  </si>
  <si>
    <t>30–80</t>
  </si>
  <si>
    <t>10–15+</t>
  </si>
  <si>
    <t>300–1200</t>
  </si>
  <si>
    <t>5000–50000</t>
  </si>
  <si>
    <t>Axiom Station, Starlab (~5,000 kg at completion) and Vast Haven-1 require continuous drag compensation at ~400–450 km; ΔV budget scales from ISS SK by platform mass. Differentiator: although solar is viable at LEO, Magdrive's inert solid-metal propellant removes all pressurised-tank hazard co-located with a crewed habitat - a genuine safety advantage over hydrazine or xenon, and a regulatory pathway that may favour inert systems in crew-rated vehicles. Rogue+RTG suits small attached modules (~25–100 kg); SuperMagdrive suits station-level main SK.</t>
  </si>
  <si>
    <t>B02, M16, M17, M18, S04</t>
  </si>
  <si>
    <t>Rogue+RTG / SuperMagdrive</t>
  </si>
  <si>
    <t>Low  -  solar viable at LEO; inert solid-metal propellant is the primary safety differentiator for crewed habitat proximity</t>
  </si>
  <si>
    <t>Covert / resilient defence satellite</t>
  </si>
  <si>
    <t>50–300</t>
  </si>
  <si>
    <t>250–3000</t>
  </si>
  <si>
    <t>100–5000</t>
  </si>
  <si>
    <t>Two differentiators. (1) Solar-array-free with RTG removes large glinting panels: satellite glints produce brightness spikes detectable by survey networks such as ZTF/LSST (Karpov et al. 2022). (2) High-cadence stochastic manoeuvring randomises TLE prediction, complicating intercept or inspection (Magdrive, Hyperspace Challenge / US Space Force 2024). ΔV derivation (first-principles; no open classified budget): ~0.5 m/s per 1 km LEO altitude change; 2 manoeuvres/week × 5 m/s ≈ 500 m/s/yr for aggressive ops, with ~50 m/s/yr a modest lower bound. GEO: ~10 slot changes × 2–5 m/s ≈ 20–50 m/s/yr.</t>
  </si>
  <si>
    <t>B03, C03, D01, R11</t>
  </si>
  <si>
    <t>Rogue+RTG / Warlock</t>
  </si>
  <si>
    <t>Significant  -  RTG eliminates glinting arrays; reduces SSA optical detectability</t>
  </si>
  <si>
    <t>GEO co-orbital proximity (insp/guardian)</t>
  </si>
  <si>
    <t>2–5</t>
  </si>
  <si>
    <t>100–250</t>
  </si>
  <si>
    <t>20–200</t>
  </si>
  <si>
    <t>A small spacecraft operating close to a GEO asset, either for episodic characterisation (inspector, ~2-yr) or persistent monitoring and protection (guardian, ~5-yr) - same spacecraft class and ΔV rate, carried as one profile with a 100–250 m/s range. Two concepts: a persistent free-flyer (pays GEO N–S SK ~50 m/s/yr plus patrol; Warlock-class) and a docked/detachable inspector that rides a host and sorties only when needed (low total ΔV; burst-and-recharge cadence). Inspector and guardian merged here; first close 1x Warlock + 1x RTG+.</t>
  </si>
  <si>
    <t>B01, C03, C05, R11</t>
  </si>
  <si>
    <t>Significant - operational, not enabling: solar works at GEO, but RTG removes solar-array optical glint for covert inspection, frees pointing, and eliminates eclipse battery for persistent watch</t>
  </si>
  <si>
    <t>Co-orbital inspector (degraded-asset / ISAM)</t>
  </si>
  <si>
    <t>30–100</t>
  </si>
  <si>
    <t>60–500</t>
  </si>
  <si>
    <t>20–100</t>
  </si>
  <si>
    <t>Docked/detachable inspector version of the GEO proximity profile: rides a host (the GEO asset or an ISAM servicer) which pays stationkeeping, then detaches for episodic inspection of degraded assets or monitoring during servicing operations, then redocks. Low total mission ΔV; the real challenge is rendezvous/redock control authority rather than impulse. SSTL SNAP-1 (2000) imaged an Ariane stage but drifted away due to lack of propulsion - propulsion is the enabling element.</t>
  </si>
  <si>
    <t>M11, M12, M13, M14</t>
  </si>
  <si>
    <t>Significant - sortie autonomy: full power the instant it detaches from the host, independent of host attitude or shadow</t>
  </si>
  <si>
    <t>Distributed aperture swarm / formation flying</t>
  </si>
  <si>
    <t>1–10</t>
  </si>
  <si>
    <t>3–10+</t>
  </si>
  <si>
    <t>5–50</t>
  </si>
  <si>
    <t>Multiple micro-satellites (5–25 kg) holding precise relative positions for distributed sensing - SAR, space-based interferometry (e.g. a LISA-precursor formation), or wide-baseline optical imaging - needing continuous ~1–10 m/s/yr per element. Differentiators: (1) power-source independence frees each element to point instruments without trading power for attitude; (2) eclipse-independent operation gives gap-free collection and formation maintenance; (3) at 5–25 kg, Rogue+RTG is competitive on mass fraction. Inert propellant also avoids a venting event on one node contaminating the array. Per-element ΔV sits well within Rogue's 120 Ns capability.</t>
  </si>
  <si>
    <t>M09, M10, R05, R07</t>
  </si>
  <si>
    <t>Rogue+RTG</t>
  </si>
  <si>
    <t>Significant  -  RTG removes solar-panel pointing conflict with instrument attitude; eclipse-independent formation maintenance; inert propellant safe in close-proximity array</t>
  </si>
  <si>
    <t>Cislunar &amp; Lunar</t>
  </si>
  <si>
    <t>L1/L2 halo orbit SK</t>
  </si>
  <si>
    <t>2–3</t>
  </si>
  <si>
    <t>5–20+</t>
  </si>
  <si>
    <t>10–60</t>
  </si>
  <si>
    <t>100–6500</t>
  </si>
  <si>
    <t>JWST achieves ~2.5 m/s/yr against a 93 m/s lifetime budget (confirmed post-launch); 4 m/s/yr only at unfavourable halo amplitudes. The precise Ariane 5 insertion may enable 20+ year operations.</t>
  </si>
  <si>
    <t>D01, R10</t>
  </si>
  <si>
    <t>Significant  -  RTG essential through extended eclipse periods (~several hours per orbit)</t>
  </si>
  <si>
    <t>SE-L1 space weather sentinel</t>
  </si>
  <si>
    <t>2–4</t>
  </si>
  <si>
    <t>5–15+</t>
  </si>
  <si>
    <t>25–200</t>
  </si>
  <si>
    <t>A small dedicated in-situ node at Sun–Earth L1 for continuous upstream solar-wind monitoring and space-weather warning. Resized from a DSCOVR/ACE-class flagship (~660 kg, now cross-listed at #27) to a ~50 kg smallsat carrying the core in-situ suite (solar-wind plasma sensor, magnetometer, ion/particle telescope), following CuSP (6U) and SWFO-L1 heritage. Rate-trivial (~3 m/s/yr) but lifetime-bound: a 5-yr / 15 m/s budget needs pulse-budget growth or Rogue-public I_bit - a pull-through case. Differentiator: power-independent during the very solar events being monitored.</t>
  </si>
  <si>
    <t>M02, M03, M04</t>
  </si>
  <si>
    <t>Essential - a monitor losing power during a CME is operationally unacceptable; RTG removes that failure mode for a hardened bus</t>
  </si>
  <si>
    <t>NRHO / cislunar relay</t>
  </si>
  <si>
    <t>5–15</t>
  </si>
  <si>
    <t>25–150</t>
  </si>
  <si>
    <t>10–26000</t>
  </si>
  <si>
    <t>Gateway NRHO (9:2 resonance, perilune ~3,000 km): ~10 m/s/yr SK; CAPSTONE (25 kg) demonstrated NRHO insertion and SK in 2022. NASA's Gateway was cancelled in March 2026, but NRHO remains the canonical cislunar staging orbit for any successor outpost or relay - and cancellation arguably widens the commercial opening, since a private relay or depot needs the same SK budget without government cost-sharing. Differentiator: handles ~6-hr eclipse periods per orbit without battery-mass penalty.</t>
  </si>
  <si>
    <t>M01, R27</t>
  </si>
  <si>
    <t>Significant  -  RTG handles ~6-hr eclipse periods per NRHO orbit without battery mass penalty</t>
  </si>
  <si>
    <t>Cislunar comms relay (post-Gateway)</t>
  </si>
  <si>
    <t>25–500</t>
  </si>
  <si>
    <t>Gateway's cancellation (March 2026) leaves a gap for autonomous cislunar comms infrastructure. An NRHO- or Earth–Moon-L2-resident relay would give continuous coverage for Artemis surface assets and commercial operators (Intuitive Machines, Astrobotic) without the Gateway architecture. Differentiator: no power interruption during ~6-hr NRHO eclipses - precisely when surface assets most need relay. ΔV ~10 m/s/yr; 25–100 kg platform well-matched to Rogue+RTG.</t>
  </si>
  <si>
    <t>M01, M24, M25, R27</t>
  </si>
  <si>
    <t>Significant  -  RTG handles ~6-hr eclipse periods per NRHO orbit; uninterrupted relay coverage when surface assets most need it</t>
  </si>
  <si>
    <t>Low lunar orbit (circular polar)</t>
  </si>
  <si>
    <t>50–80</t>
  </si>
  <si>
    <t>0.5–2</t>
  </si>
  <si>
    <t>25–160</t>
  </si>
  <si>
    <t>100–2400</t>
  </si>
  <si>
    <t>LRO (50 km polar) SK ~65 m/s/yr; KPLO (100 km polar) ~75 m/s/yr. Without SK, a circular polar LLO impacts in ~200 days; mascon perturbations dominate. (Prior 100 m/s/yr upper bound was too high for a managed orbit.)</t>
  </si>
  <si>
    <t>R02, R12</t>
  </si>
  <si>
    <t>Moderate  -  solar viable at 1 AU; RTG advantage in extended eclipse</t>
  </si>
  <si>
    <t>Frozen lunar orbit (incl. PSR support)</t>
  </si>
  <si>
    <t>5–25</t>
  </si>
  <si>
    <t>Near-polar (~85°) frozen lunar orbit, naturally eccentricity-stable with low ongoing SK (~3 m/s lifetime), now the base profile with permanently-shadowed-region (PSR) support folded in as the application - a frozen polar orbit is the natural way to hold station over a PSR. LRO’s quasi-frozen commissioning orbit (30×216 km) was self-maintaining for months. Marginal on confirmed hardware (pulse-life 2.4 m/s vs 3 m/s); closes on a 3x1 Rogue stack at ~12.5M pulses. PSR target itself is permanently dark.</t>
  </si>
  <si>
    <t>R02, R05, R16</t>
  </si>
  <si>
    <t>Significant - frequent deep eclipses (~32% year-averaged at 50 km) plus permanently-dark PSR target; RTG removes all orbital-geometry power dependence</t>
  </si>
  <si>
    <t>SE-L1 sentinel (DSCOVR-class)</t>
  </si>
  <si>
    <t>570–760</t>
  </si>
  <si>
    <t>DSCOVR/ACE-class flagship variant of the L1 sentinel (#14), retained for the deep-space continuous-power framing at full operational mass (~660 kg). ACE (757 kg, 1997–) and DSCOVR (570 kg, 2015–) operate at L1 with ~2–4 m/s/yr SK. The compact-node version (#14) is the MicroNEP-relevant near-term case; this row anchors the heavier operational benchmark.</t>
  </si>
  <si>
    <t>M04, R23</t>
  </si>
  <si>
    <t>Essential - must remain powered during the solar events being monitored</t>
  </si>
  <si>
    <t>Planetary &amp; Small Bodies</t>
  </si>
  <si>
    <t>Apophis 2029 proximity / companion</t>
  </si>
  <si>
    <t>~0.5 (campaign)</t>
  </si>
  <si>
    <t>5–30</t>
  </si>
  <si>
    <t>15–50</t>
  </si>
  <si>
    <t>M05, M06, M07, M08, R22</t>
  </si>
  <si>
    <t>Significant - sortie autonomy on deployment; no solar-array glint contaminating optical/spectral imaging of a pristine surface; inert solid-metal propellant safe near a science target</t>
  </si>
  <si>
    <t>Phobos proximity ops</t>
  </si>
  <si>
    <t>1–3</t>
  </si>
  <si>
    <t>Phobos's irregular gravity and Martian tidal perturbations require continuous trim; escape velocity ≈11 m/s, so small manoeuvres are mission-critical. No flown SK heritage; values from trajectory analysis.</t>
  </si>
  <si>
    <t>R25, R26</t>
  </si>
  <si>
    <t>Moderate → Essential  -  solar marginal beyond ~3 AU; RTG eliminates power risk near irregular small body</t>
  </si>
  <si>
    <t>Asteroid proximity ops (main belt / NEO)</t>
  </si>
  <si>
    <t>1–15</t>
  </si>
  <si>
    <t>50–2100</t>
  </si>
  <si>
    <t>Solar radiation pressure and irregular gravity dominate. Hayabusa2 (609 kg) and OSIRIS-REx (2,110 kg) held box/hover stations at ~3–5 km with sustained thrust of ~10–100 µN; Rogue's ~1.2 mN average is well-matched.</t>
  </si>
  <si>
    <t>R21, R22</t>
  </si>
  <si>
    <t>Significant  -  solar marginal at &gt;3 AU; inert propellant safe near pristine target</t>
  </si>
  <si>
    <t>Comet escort</t>
  </si>
  <si>
    <t>months–years</t>
  </si>
  <si>
    <t>500–1500</t>
  </si>
  <si>
    <t>500–3000</t>
  </si>
  <si>
    <t>Rosetta (2,969 kg) escorted 67P for 26 months; ΔV is dominated by rendezvous and escort against active outgassing. Differentiator: no power loss when outgassing or dust occludes solar panels.</t>
  </si>
  <si>
    <t>R01, R08</t>
  </si>
  <si>
    <t>Significant  -  outgassing phases occlude solar panels; RTG power-independent</t>
  </si>
  <si>
    <t>Small-body tourer (multi-target)</t>
  </si>
  <si>
    <t>500–2000</t>
  </si>
  <si>
    <t>100–1220</t>
  </si>
  <si>
    <t>Transfer plus rendezvous ΔV across 2–4 small bodies. Dawn demonstrated ion propulsion at Vesta/Ceres (&gt;11 km/s total ΔV); the ~500 m/s lower bound is a 2-target micro-spacecraft tour in the inner main belt.</t>
  </si>
  <si>
    <t>B03, R20</t>
  </si>
  <si>
    <t>Significant  -  multi-AU range; solar degrades across tour duration</t>
  </si>
  <si>
    <t>Outer Solar System</t>
  </si>
  <si>
    <t>Titan orbiter / atmospheric probe relay</t>
  </si>
  <si>
    <t>20–60</t>
  </si>
  <si>
    <t>100–300</t>
  </si>
  <si>
    <t>Titan's thick N₂ atmosphere (~1.45 bar surface) produces real drag even in low orbit, and 9.5 AU rules out solar power; RTG+Rogue may be the only viable continuous-thrust architecture for a sustained low-altitude Titan SAR/radar orbiter. Dragonfly uses an RTG for surface mobility; the orbital equivalent is unflown. ΔV extrapolated from Cassini data for ~900–1,500 km.</t>
  </si>
  <si>
    <t>M21, M22, R15</t>
  </si>
  <si>
    <t>Essential  -  9.5 AU; solar entirely nonviable at Titan distance</t>
  </si>
  <si>
    <t>Interstellar precursor trajectory correction (&gt;100 AU)</t>
  </si>
  <si>
    <t>0.1–1</t>
  </si>
  <si>
    <t>15–30</t>
  </si>
  <si>
    <t>10–50</t>
  </si>
  <si>
    <t>A solar-gravity-lens trajectory (~550 AU target) needs only ~10–20 m/s total correction over a 20–30 yr cruise, but cold gas leaks and bipropellant freezes over those timescales. Rogue's solid-metal propellant is inert with no boil-off, and the RTG provides power at any heliocentric distance.</t>
  </si>
  <si>
    <t>R17, R24</t>
  </si>
  <si>
    <t>Essential  -  &gt;100 AU; only viable continuous-power architecture over 20–30 yr cruise</t>
  </si>
  <si>
    <t>Icy moon / ocean world orbiter (Europa / Enceladus)</t>
  </si>
  <si>
    <t>0.5–3</t>
  </si>
  <si>
    <t>100–600</t>
  </si>
  <si>
    <t>Orbit maintenance around outer-planet moons. Europa: strong Jovian third-body perturbations destabilise most low orbits within weeks without active SK; frozen orbits near ~100 km need ~50–200 m/s/yr (Lara 2005; Paskowitz &amp; Scheeres 2006). Ganymede (ESA JUICE): ~20–50 m/s/yr at 200–500 km - the most benign case. Titan: ~20–60 m/s/yr at 900–1,500 km (Lorenz et al. 2008). Differentiators: (1) ~4% Earth solar flux at 5.2 AU makes solar arrays impractically large; (2) eclipses up to ~3.5 hr per orbit at Europa/Ganymede make eclipse-bridging battery mass prohibitive; (3) intense Jovian-magnetosphere radiation rapidly degrades solar cells (mission-accumulated total ionising dose of order Mrad behind shielding). Europa Clipper uses repeated flybys to limit dose; an RTG-powered orbiter is not power-limited by that environment.</t>
  </si>
  <si>
    <t>R09, R13, R15, R18</t>
  </si>
  <si>
    <t>Essential  -  5.2 AU + Jovian shadow + radiation belt; solar panels degrade rapidly</t>
  </si>
  <si>
    <t>Outer solar system cruise trim (&gt;5 AU)</t>
  </si>
  <si>
    <t>Trajectory corrections and attitude maintenance during cruise beyond Jupiter. Voyager needed ~15 m/s of correction over ~40 yr but was effectively unpowered for propulsion after early manoeuvres; RTG-EP enables active trajectory management where solar power is negligible.</t>
  </si>
  <si>
    <t>B03, M23</t>
  </si>
  <si>
    <t>Essential  -  &gt;5 AU; solar power negligible beyond Jupiter</t>
  </si>
  <si>
    <t>Deep-space relay / formation node</t>
  </si>
  <si>
    <t>multi-year</t>
  </si>
  <si>
    <t>200–1000</t>
  </si>
  <si>
    <t>Formation-keeping in deep space (Sun–Earth L4/L5 or an outer-planet approach corridor). Differentiator: no power degradation with heliocentric distance.</t>
  </si>
  <si>
    <t>R14</t>
  </si>
  <si>
    <t>Essential  -  multi-AU range; RTG is the only viable power source</t>
  </si>
  <si>
    <t>Logistics &amp; Infrastructure</t>
  </si>
  <si>
    <t>LEO-to-GEO orbit raising</t>
  </si>
  <si>
    <t>weeks–months</t>
  </si>
  <si>
    <t>~6000</t>
  </si>
  <si>
    <t>1 N at 2,000 s Isp raises a ~500 kg platform from LEO to GEO in ~6–12 weeks - competitive with Hall thrusters on transfer time and far better than chemical on propellant mass (at 2,000 s vs ~320 s for hydrazine, roughly 3× lower propellant fraction for the same ~6 km/s ΔV). Large commercial market; no current EP system achieves 1 N at this Isp in a 75 kg package.</t>
  </si>
  <si>
    <t>B03, C01</t>
  </si>
  <si>
    <t>Low  -  solar viable throughout; RTG not required for this profile</t>
  </si>
  <si>
    <t>Cislunar logistics tug (NRHO ↔ LLO transfers)</t>
  </si>
  <si>
    <t>1 MNs total impulse enables ~3–5 NRHO↔LLO transfers for a 500 kg vehicle (~1 km/s each), addressing the commercial cislunar logistics gap after Gateway's cancellation (March 2026). ~3× propellant-efficiency advantage over chemical at 2,000 s Isp.</t>
  </si>
  <si>
    <t>C01, R27</t>
  </si>
  <si>
    <t>Moderate  -  cislunar range; RTG advantage during lunar transit eclipse periods</t>
  </si>
  <si>
    <t>ISAM servicer vehicle main engine</t>
  </si>
  <si>
    <t>200–2000</t>
  </si>
  <si>
    <t>In-Space Servicing, Assembly &amp; Manufacturing vehicles need propulsion for hundreds of rendezvous and proximity operations without a pressurised-propellant hazard beside live satellites. Warlock (50 mN, 50 kNs) suits a ~200 kg servicer; SuperMagdrive (1 N+, 1 MNs) suits heavy servicers. Solid metal propellant is directly preferable to hydrazine or xenon near high-value targets. Precedents: Astroscale ELSA-M (2023), NASA OSAM-1.</t>
  </si>
  <si>
    <t>C02, M12, M13</t>
  </si>
  <si>
    <t>Warlock / SuperMagdrive</t>
  </si>
  <si>
    <t>Low  -  solar viable in LEO; inert solid-metal propellant is the primary differentiator</t>
  </si>
  <si>
    <t>Active debris removal (single-target LEO)</t>
  </si>
  <si>
    <t>months</t>
  </si>
  <si>
    <t>Warlock (50 mN, 3 kg, 50 kNs) fits a 2U envelope and delivers ~50–150 m/s for rendezvous and disposal. ESA's ClearSpace-1 (ADRIOS, ~€120M) demonstrates the market. Inert solid propellant removes the pressurised-tank safety case that currently drives ADR vehicle mass.</t>
  </si>
  <si>
    <t>B03, C02, M15</t>
  </si>
  <si>
    <t>Low  -  solar viable in LEO; propellant safety drives architecture advantage</t>
  </si>
  <si>
    <t>On-orbit manufacturing platform SK (Space Forge / Varda)</t>
  </si>
  <si>
    <t>50–750</t>
  </si>
  <si>
    <t>VLEO/LEO manufacturing platforms (Varda ~300 kg, Space Forge ~50 kg) need continuous drag compensation without a pressurised-tank hazard inside a facility handling molten or reactive materials - where inert solid metal propellant is a genuine safety differentiator. For lighter platforms (~50 kg at 300–350 km), Rogue+RTG is directly viable (~10–20 m/s over 1–2 years). Warlock is the primary fit for full-lifetime SK at higher altitudes or heavier platforms.</t>
  </si>
  <si>
    <t>C02, M26, R19</t>
  </si>
  <si>
    <t>Low  -  solar viable; inert propellant is essential safety architecture for manufacturing environment</t>
  </si>
  <si>
    <t>Notes</t>
  </si>
  <si>
    <t>• Representative ΔV and mass are single-point values carried into the MicroNEP MATLAB toolkit (Extended_Profiles). Ranges in columns C–F are envelope estimates for the mission class.</t>
  </si>
  <si>
    <t>• Ref # ties each row to the labelled point in the thesis Figure 26 scatter: squares = core ten, circles = deep dives.</t>
  </si>
  <si>
    <t>• Source keys resolve to the Bibliography sheet. D01 denotes a first-principles derivation, documented in the Notes column, rather than an external source.</t>
  </si>
  <si>
    <t>Key</t>
  </si>
  <si>
    <t>Author / Organisation</t>
  </si>
  <si>
    <t>Year</t>
  </si>
  <si>
    <t>Title</t>
  </si>
  <si>
    <t>Publication / Detail</t>
  </si>
  <si>
    <t>DOI / identifier / access</t>
  </si>
  <si>
    <t>Type</t>
  </si>
  <si>
    <t>Used by Ref #</t>
  </si>
  <si>
    <t>Peer-reviewed literature, conference papers and models</t>
  </si>
  <si>
    <t>R01</t>
  </si>
  <si>
    <t>Accomazzo, A., et al.</t>
  </si>
  <si>
    <t>2016</t>
  </si>
  <si>
    <t>Rosetta operations at the comet</t>
  </si>
  <si>
    <t>Acta Astronautica, 126, pp. 190-198</t>
  </si>
  <si>
    <t>doi:10.1016/j.actaastro.2016.04.019</t>
  </si>
  <si>
    <t>Journal</t>
  </si>
  <si>
    <t>#22</t>
  </si>
  <si>
    <t>R02</t>
  </si>
  <si>
    <t>Beckman, M. and Lamb, R.</t>
  </si>
  <si>
    <t>2007</t>
  </si>
  <si>
    <t>Stationkeeping for the Lunar Reconnaissance Orbiter (LRO)</t>
  </si>
  <si>
    <t>20th International Symposium on Space Flight Dynamics, Annapolis MD, 24-28 Sep 2007</t>
  </si>
  <si>
    <t>NTRS 20070035736</t>
  </si>
  <si>
    <t>Conference</t>
  </si>
  <si>
    <t>#17, #18</t>
  </si>
  <si>
    <t>R03</t>
  </si>
  <si>
    <t>Bowman, B. R., et al.</t>
  </si>
  <si>
    <t>2008</t>
  </si>
  <si>
    <t>A new empirical thermospheric density model JB2008 using new solar and geomagnetic indices</t>
  </si>
  <si>
    <t>AIAA/AAS Astrodynamics Specialist Conference, AIAA 2008-6438</t>
  </si>
  <si>
    <t>doi:10.2514/6.2008-6438</t>
  </si>
  <si>
    <t>Model</t>
  </si>
  <si>
    <t>#2</t>
  </si>
  <si>
    <t>R04</t>
  </si>
  <si>
    <t>Crisp, N. H., et al.</t>
  </si>
  <si>
    <t>2020</t>
  </si>
  <si>
    <t>The benefits of very low earth orbit for earth observation missions</t>
  </si>
  <si>
    <t>Progress in Aerospace Sciences, 117, 100619</t>
  </si>
  <si>
    <t>doi:10.1016/j.paerosci.2020.100619</t>
  </si>
  <si>
    <t>R05</t>
  </si>
  <si>
    <t>Ely, T. A. and Lieb, E.</t>
  </si>
  <si>
    <t>2006</t>
  </si>
  <si>
    <t>Constellations of elliptical inclined lunar orbits providing polar and global coverage</t>
  </si>
  <si>
    <t>Journal of the Astronautical Sciences, 54(1), pp. 53-67</t>
  </si>
  <si>
    <t>doi:10.1007/BF03256478</t>
  </si>
  <si>
    <t>#18, #35</t>
  </si>
  <si>
    <t>R06</t>
  </si>
  <si>
    <t>Floberghagen, R., et al.</t>
  </si>
  <si>
    <t>2011</t>
  </si>
  <si>
    <t>Mission design, operation and exploitation of the gravity field and steady-state ocean circulation explorer mission</t>
  </si>
  <si>
    <t>Journal of Geodesy, 85(11), pp. 749-758</t>
  </si>
  <si>
    <t>doi:10.1007/s00190-011-0498-3</t>
  </si>
  <si>
    <t>R07</t>
  </si>
  <si>
    <t>Fridlund, M., et al.</t>
  </si>
  <si>
    <t>2010</t>
  </si>
  <si>
    <t>The search for worlds like our own</t>
  </si>
  <si>
    <t>Astrobiology, 10(1), pp. 5-17</t>
  </si>
  <si>
    <t>doi:10.1089/ast.2009.0380</t>
  </si>
  <si>
    <t>#35</t>
  </si>
  <si>
    <t>R08</t>
  </si>
  <si>
    <t>Glassmeier, K.-H., et al.</t>
  </si>
  <si>
    <t>The Rosetta mission: flying towards the origin of the solar system</t>
  </si>
  <si>
    <t>Space Science Reviews, 128(1-4), pp. 1-21</t>
  </si>
  <si>
    <t>doi:10.1007/s11214-006-9140-8</t>
  </si>
  <si>
    <t>R09</t>
  </si>
  <si>
    <t>Grasset, O., et al.</t>
  </si>
  <si>
    <t>2013</t>
  </si>
  <si>
    <t>JUpiter ICy moons Explorer (JUICE): an ESA mission to orbit Ganymede and to characterise the Jupiter system</t>
  </si>
  <si>
    <t>Planetary and Space Science, 78, pp. 1-21</t>
  </si>
  <si>
    <t>doi:10.1016/j.pss.2012.12.002</t>
  </si>
  <si>
    <t>#26</t>
  </si>
  <si>
    <t>R10</t>
  </si>
  <si>
    <t>Ikenaga, T. and Utashima, M.</t>
  </si>
  <si>
    <t>2012</t>
  </si>
  <si>
    <t>Study on the stationkeeping strategy for the libration point mission</t>
  </si>
  <si>
    <t>Transactions of the Japan Society for Aeronautical and Space Sciences, Aerospace Technology Japan, 10(ists28), pp. Pd_11-Pd_20</t>
  </si>
  <si>
    <t>doi:10.2322/tastj.10.Pd_11</t>
  </si>
  <si>
    <t>#13</t>
  </si>
  <si>
    <t>R11</t>
  </si>
  <si>
    <t>Karpov, S. and Peloton, J.</t>
  </si>
  <si>
    <t>2022</t>
  </si>
  <si>
    <t>Impact of satellite glints on the transient science on ZTF scale</t>
  </si>
  <si>
    <t>arXiv:2202.05719 [astro-ph.IM]</t>
  </si>
  <si>
    <t>arxiv.org/abs/2202.05719</t>
  </si>
  <si>
    <t>Preprint</t>
  </si>
  <si>
    <t>#10, #11</t>
  </si>
  <si>
    <t>R12</t>
  </si>
  <si>
    <t>Song, Y.-J., et al.</t>
  </si>
  <si>
    <t>2024</t>
  </si>
  <si>
    <t>Korea Pathfinder Lunar Orbiter (KPLO) operation: from design to initial results</t>
  </si>
  <si>
    <t>Journal of Astronomy and Space Sciences, 41(1), pp. 43-60</t>
  </si>
  <si>
    <t>doi:10.5140/JASS.2024.41.1.43</t>
  </si>
  <si>
    <t>#17</t>
  </si>
  <si>
    <t>R13</t>
  </si>
  <si>
    <t>Lara, M. and San Juan, J. F.</t>
  </si>
  <si>
    <t>2005</t>
  </si>
  <si>
    <t>Dynamic behavior of an orbiter around Europa</t>
  </si>
  <si>
    <t>Journal of Guidance, Control, and Dynamics, 28(2), pp. 291-297</t>
  </si>
  <si>
    <t>doi:10.2514/1.5686</t>
  </si>
  <si>
    <t>Lizy-Destrez, S., et al.</t>
  </si>
  <si>
    <t>2019</t>
  </si>
  <si>
    <t>Rendezvous strategies in the vicinity of Earth-Moon Lagrangian points</t>
  </si>
  <si>
    <t>Frontiers in Astronomy and Space Sciences, 5, 45</t>
  </si>
  <si>
    <t>doi:10.3389/fspas.2018.00045</t>
  </si>
  <si>
    <t>#34</t>
  </si>
  <si>
    <t>R15</t>
  </si>
  <si>
    <t>Waite, J. H., Bell, J., Lorenz, R., Achterberg, R. and Flasar, F. M.</t>
  </si>
  <si>
    <t>A model of variability in Titan's atmospheric structure</t>
  </si>
  <si>
    <t>Planetary and Space Science, 86, pp. 45-56</t>
  </si>
  <si>
    <t>doi:10.1016/j.pss.2013.05.018</t>
  </si>
  <si>
    <t>#24, #26</t>
  </si>
  <si>
    <t>R16</t>
  </si>
  <si>
    <t>Mazarico, E., et al.</t>
  </si>
  <si>
    <t>Illumination conditions of the lunar polar regions using LOLA topography</t>
  </si>
  <si>
    <t>Icarus, 211(2), pp. 1066-1081</t>
  </si>
  <si>
    <t>doi:10.1016/j.icarus.2010.10.030</t>
  </si>
  <si>
    <t>#18</t>
  </si>
  <si>
    <t>R17</t>
  </si>
  <si>
    <t>McNutt, R. L., et al.</t>
  </si>
  <si>
    <t>Near-term interstellar probe: first step</t>
  </si>
  <si>
    <t>Acta Astronautica, 162, pp. 284-299</t>
  </si>
  <si>
    <t>doi:10.1016/j.actaastro.2019.06.013</t>
  </si>
  <si>
    <t>#25</t>
  </si>
  <si>
    <t>R18</t>
  </si>
  <si>
    <t>Paskowitz, M. E. and Scheeres, D. J.</t>
  </si>
  <si>
    <t>Design of science orbits about planetary satellites: application to Europa</t>
  </si>
  <si>
    <t>Journal of Guidance, Control, and Dynamics, 29(5), pp. 1147-1158</t>
  </si>
  <si>
    <t>doi:10.2514/1.19464</t>
  </si>
  <si>
    <t>R19</t>
  </si>
  <si>
    <t>Picone, J. M., et al.</t>
  </si>
  <si>
    <t>2002</t>
  </si>
  <si>
    <t>NRLMSISE-00 empirical model of the atmosphere: statistical comparisons and scientific issues</t>
  </si>
  <si>
    <t>Journal of Geophysical Research: Space Physics, 107(A12), 1468</t>
  </si>
  <si>
    <t>doi:10.1029/2002JA009430</t>
  </si>
  <si>
    <t>#2, #32</t>
  </si>
  <si>
    <t>R20</t>
  </si>
  <si>
    <t>Rayman, M. D., et al.</t>
  </si>
  <si>
    <t>Dawn: a mission in development for exploration of main belt asteroids Vesta and Ceres</t>
  </si>
  <si>
    <t>Acta Astronautica, 58(11), pp. 605-616</t>
  </si>
  <si>
    <t>doi:10.1016/j.actaastro.2006.01.014</t>
  </si>
  <si>
    <t>#23</t>
  </si>
  <si>
    <t>R21</t>
  </si>
  <si>
    <t>Scheeres, D. J.</t>
  </si>
  <si>
    <t>Orbital Motion in Strongly Perturbed Environments: Applications to Asteroid, Comet and Planetary Satellite Orbiters</t>
  </si>
  <si>
    <t>Springer-Praxis, Berlin</t>
  </si>
  <si>
    <t>doi:10.1007/978-3-642-03256-1</t>
  </si>
  <si>
    <t>Book</t>
  </si>
  <si>
    <t>#21</t>
  </si>
  <si>
    <t>R22</t>
  </si>
  <si>
    <t>Scheeres, D. J., et al.</t>
  </si>
  <si>
    <t>Proximity operations about Apophis through its 2029 Earth flyby</t>
  </si>
  <si>
    <t>Journal of the Astronautical Sciences, 69(6)</t>
  </si>
  <si>
    <t>doi:10.1007/s40295-022-00352-w</t>
  </si>
  <si>
    <t>#19, #21</t>
  </si>
  <si>
    <t>R23</t>
  </si>
  <si>
    <t>Stone, E. C., et al.</t>
  </si>
  <si>
    <t>1998</t>
  </si>
  <si>
    <t>The Advanced Composition Explorer</t>
  </si>
  <si>
    <t>Space Science Reviews, 86(1-4), pp. 1-22</t>
  </si>
  <si>
    <t>doi:10.1023/A:1005082526237</t>
  </si>
  <si>
    <t>#27</t>
  </si>
  <si>
    <t>R24</t>
  </si>
  <si>
    <t>Turyshev, S. G., et al.</t>
  </si>
  <si>
    <t>Direct multipixel imaging and spectroscopy of an exoplanet with a solar gravity lens mission</t>
  </si>
  <si>
    <t>NASA Innovative Advanced Concepts (NIAC) Phase II Final Report; arXiv:2002.11871</t>
  </si>
  <si>
    <t>arxiv.org/abs/2002.11871</t>
  </si>
  <si>
    <t>Report</t>
  </si>
  <si>
    <t>R25</t>
  </si>
  <si>
    <t>Willner, K., et al.</t>
  </si>
  <si>
    <t>2014</t>
  </si>
  <si>
    <t>Phobos control point network, rotation, and shape</t>
  </si>
  <si>
    <t>Planetary and Space Science, 102, pp. 51-59</t>
  </si>
  <si>
    <t>doi:10.1016/j.pss.2013.12.006</t>
  </si>
  <si>
    <t>#20</t>
  </si>
  <si>
    <t>R26</t>
  </si>
  <si>
    <t>Zamaro, M. and Biggs, J. D.</t>
  </si>
  <si>
    <t>Identification of new orbits to enable future mission opportunities for the human exploration of the Martian moon Phobos</t>
  </si>
  <si>
    <t>Acta Astronautica, 119, pp. 160-182</t>
  </si>
  <si>
    <t>doi:10.1016/j.actaastro.2015.11.007</t>
  </si>
  <si>
    <t>R27</t>
  </si>
  <si>
    <t>Zimovan, E. M., Howell, K. C. and Davis, D. C.</t>
  </si>
  <si>
    <t>2017</t>
  </si>
  <si>
    <t>Near rectilinear halo orbits and their application in cislunar space</t>
  </si>
  <si>
    <t>3rd IAA Conference on Dynamics and Control of Space Systems, Moscow, IAA-AAS-DyCoSS3-125</t>
  </si>
  <si>
    <t>NTRS 20170001347</t>
  </si>
  <si>
    <t>#15, #16, #29</t>
  </si>
  <si>
    <t>Books and reference texts</t>
  </si>
  <si>
    <t>B01</t>
  </si>
  <si>
    <t>Soop, E. M.</t>
  </si>
  <si>
    <t>1994</t>
  </si>
  <si>
    <t>Handbook of Geostationary Orbits</t>
  </si>
  <si>
    <t>Kluwer Academic Publishers, Space Technology Library Vol. 3</t>
  </si>
  <si>
    <t>ISBN 978-0-7923-3054-7</t>
  </si>
  <si>
    <t>#7, #8, #11</t>
  </si>
  <si>
    <t>B02</t>
  </si>
  <si>
    <t>Vallado, D. A.</t>
  </si>
  <si>
    <t>Fundamentals of Astrodynamics and Applications, 4th ed.</t>
  </si>
  <si>
    <t>Microcosm Press / Springer</t>
  </si>
  <si>
    <t>ISBN 978-1-881883-18-0</t>
  </si>
  <si>
    <t>#3, #9</t>
  </si>
  <si>
    <t>B03</t>
  </si>
  <si>
    <t>Wertz, J. R., Everett, D. F. and Puschell, J. J. (eds.)</t>
  </si>
  <si>
    <t>Space Mission Engineering: The New SMAD</t>
  </si>
  <si>
    <t>Microcosm Press, Space Technology Library Vol. 28</t>
  </si>
  <si>
    <t>ISBN 978-1-881883-15-9</t>
  </si>
  <si>
    <t>#4, #7, #8, #10, #23, #28, #31, #33</t>
  </si>
  <si>
    <t>Standards and official documents</t>
  </si>
  <si>
    <t>Inter-Agency Space Debris Coordination Committee</t>
  </si>
  <si>
    <t>IADC Space Debris Mitigation Guidelines</t>
  </si>
  <si>
    <t>IADC-2002-01, Revision 1</t>
  </si>
  <si>
    <t>iadc-home.org</t>
  </si>
  <si>
    <t>Standard</t>
  </si>
  <si>
    <t>#6, #8</t>
  </si>
  <si>
    <t>S02</t>
  </si>
  <si>
    <t>NASA</t>
  </si>
  <si>
    <t>2021</t>
  </si>
  <si>
    <t>Process for Limiting Orbital Debris</t>
  </si>
  <si>
    <t>NASA-STD-8719.14C</t>
  </si>
  <si>
    <t>standards.nasa.gov</t>
  </si>
  <si>
    <t>#3</t>
  </si>
  <si>
    <t>S03</t>
  </si>
  <si>
    <t>U.S. Government</t>
  </si>
  <si>
    <t>Orbital Debris Mitigation Standard Practices, November 2019 Update</t>
  </si>
  <si>
    <t>U.S. Government / NASA Orbital Debris Program Office</t>
  </si>
  <si>
    <t>orbitaldebris.jsc.nasa.gov</t>
  </si>
  <si>
    <t>S04</t>
  </si>
  <si>
    <t>2023</t>
  </si>
  <si>
    <t>NASA Space Flight Human-System Standard, Volume 1: Crew Health</t>
  </si>
  <si>
    <t>NASA-STD-3001, Vol. 1, Rev. C</t>
  </si>
  <si>
    <t>#9</t>
  </si>
  <si>
    <t>S05</t>
  </si>
  <si>
    <t>ECSS</t>
  </si>
  <si>
    <t>Space engineering: Electromagnetic compatibility</t>
  </si>
  <si>
    <t>ECSS-E-ST-20-07C Rev. 1</t>
  </si>
  <si>
    <t>ecss.nl</t>
  </si>
  <si>
    <t>Mission and programme sources</t>
  </si>
  <si>
    <t>M01</t>
  </si>
  <si>
    <t>NASA / Advanced Space LLC</t>
  </si>
  <si>
    <t>CAPSTONE: Cislunar Autonomous Positioning System Technology Operations and Navigation Experiment</t>
  </si>
  <si>
    <t>NASA mission documentation</t>
  </si>
  <si>
    <t>nasa.gov/capstone</t>
  </si>
  <si>
    <t>Mission</t>
  </si>
  <si>
    <t>#15, #16</t>
  </si>
  <si>
    <t>M02</t>
  </si>
  <si>
    <t>CuSP: CubeSat mission to Study Solar Particles</t>
  </si>
  <si>
    <t>NASA mission documentation (launched Artemis I, Nov 2022)</t>
  </si>
  <si>
    <t>nasa.gov</t>
  </si>
  <si>
    <t>#14</t>
  </si>
  <si>
    <t>M03</t>
  </si>
  <si>
    <t>NOAA / NASA</t>
  </si>
  <si>
    <t>2025</t>
  </si>
  <si>
    <t>Space Weather Follow On - Lagrange 1 (SWFO-L1)</t>
  </si>
  <si>
    <t>NOAA mission documentation</t>
  </si>
  <si>
    <t>nesdis.noaa.gov</t>
  </si>
  <si>
    <t>M04</t>
  </si>
  <si>
    <t>2015</t>
  </si>
  <si>
    <t>Deep Space Climate Observatory (DSCOVR)</t>
  </si>
  <si>
    <t>#14, #27</t>
  </si>
  <si>
    <t>M05</t>
  </si>
  <si>
    <t>ESA</t>
  </si>
  <si>
    <t>Ramses: Rapid Apophis Mission for Space Safety</t>
  </si>
  <si>
    <t>ESA Space Safety Programme</t>
  </si>
  <si>
    <t>esa.int</t>
  </si>
  <si>
    <t>#19</t>
  </si>
  <si>
    <t>M06</t>
  </si>
  <si>
    <t>OSIRIS-APEX (OSIRIS-REx Apophis Explorer)</t>
  </si>
  <si>
    <t>NASA extended mission documentation</t>
  </si>
  <si>
    <t>M07</t>
  </si>
  <si>
    <t>JAXA</t>
  </si>
  <si>
    <t>Hayabusa2 asteroid sample return mission</t>
  </si>
  <si>
    <t>JAXA mission documentation</t>
  </si>
  <si>
    <t>jaxa.jp</t>
  </si>
  <si>
    <t>M08</t>
  </si>
  <si>
    <t>OSIRIS-REx asteroid sample return mission</t>
  </si>
  <si>
    <t>M09</t>
  </si>
  <si>
    <t>LISA Pathfinder</t>
  </si>
  <si>
    <t>ESA mission documentation</t>
  </si>
  <si>
    <t>M10</t>
  </si>
  <si>
    <t>U.S. Air Force Research Laboratory</t>
  </si>
  <si>
    <t>2003</t>
  </si>
  <si>
    <t>TechSat-21 space-based radar distributed aperture programme</t>
  </si>
  <si>
    <t>AFRL programme documentation</t>
  </si>
  <si>
    <t>-</t>
  </si>
  <si>
    <t>M11</t>
  </si>
  <si>
    <t>Surrey Satellite Technology Ltd</t>
  </si>
  <si>
    <t>2000</t>
  </si>
  <si>
    <t>SNAP-1 nanosatellite mission</t>
  </si>
  <si>
    <t>SSTL mission documentation</t>
  </si>
  <si>
    <t>sstl.co.uk</t>
  </si>
  <si>
    <t>#12</t>
  </si>
  <si>
    <t>M12</t>
  </si>
  <si>
    <t>Astroscale</t>
  </si>
  <si>
    <t>ELSA-M debris removal servicer</t>
  </si>
  <si>
    <t>Astroscale programme documentation</t>
  </si>
  <si>
    <t>astroscale.com</t>
  </si>
  <si>
    <t>#12, #30</t>
  </si>
  <si>
    <t>M13</t>
  </si>
  <si>
    <t>On-orbit Servicing, Assembly, and Manufacturing 1 (OSAM-1)</t>
  </si>
  <si>
    <t>NASA programme documentation</t>
  </si>
  <si>
    <t>M14</t>
  </si>
  <si>
    <t>Infinite Orbits</t>
  </si>
  <si>
    <t>Orbit Guard GEO proximity and inspection service</t>
  </si>
  <si>
    <t>Company technical documentation</t>
  </si>
  <si>
    <t>infiniteorbits.io</t>
  </si>
  <si>
    <t>M15</t>
  </si>
  <si>
    <t>ClearSpace-1 / ADRIOS active debris removal mission</t>
  </si>
  <si>
    <t>#31</t>
  </si>
  <si>
    <t>M16</t>
  </si>
  <si>
    <t>Axiom Space</t>
  </si>
  <si>
    <t>Axiom Station commercial LEO destination</t>
  </si>
  <si>
    <t>Company documentation</t>
  </si>
  <si>
    <t>axiomspace.com</t>
  </si>
  <si>
    <t>M17</t>
  </si>
  <si>
    <t>Voyager Technologies / Airbus</t>
  </si>
  <si>
    <t>Starlab commercial space station</t>
  </si>
  <si>
    <t>starlab-space.com</t>
  </si>
  <si>
    <t>M18</t>
  </si>
  <si>
    <t>Vast</t>
  </si>
  <si>
    <t>Haven-1 commercial space station</t>
  </si>
  <si>
    <t>vastspace.com</t>
  </si>
  <si>
    <t>M19</t>
  </si>
  <si>
    <t>EUSPA / ESA</t>
  </si>
  <si>
    <t>2026</t>
  </si>
  <si>
    <t>Galileo constellation status</t>
  </si>
  <si>
    <t>EUSPA / ESA Navipedia</t>
  </si>
  <si>
    <t>gssc.esa.int</t>
  </si>
  <si>
    <t>#5</t>
  </si>
  <si>
    <t>M20</t>
  </si>
  <si>
    <t>Lockheed Martin</t>
  </si>
  <si>
    <t>GPS III space vehicle</t>
  </si>
  <si>
    <t>lockheedmartin.com</t>
  </si>
  <si>
    <t>M21</t>
  </si>
  <si>
    <t>Dragonfly (New Frontiers 4) Titan rotorcraft lander</t>
  </si>
  <si>
    <t>nasa.gov/dragonfly</t>
  </si>
  <si>
    <t>#24</t>
  </si>
  <si>
    <t>M22</t>
  </si>
  <si>
    <t>NASA / ESA / ASI</t>
  </si>
  <si>
    <t>Cassini-Huygens mission to Saturn and Titan</t>
  </si>
  <si>
    <t>NASA/JPL mission documentation</t>
  </si>
  <si>
    <t>science.nasa.gov/mission/cassini</t>
  </si>
  <si>
    <t>M23</t>
  </si>
  <si>
    <t>NASA / JPL</t>
  </si>
  <si>
    <t>Voyager 1 and 2 mission and trajectory data</t>
  </si>
  <si>
    <t>NASA/JPL</t>
  </si>
  <si>
    <t>voyager.jpl.nasa.gov</t>
  </si>
  <si>
    <t>#33</t>
  </si>
  <si>
    <t>M24</t>
  </si>
  <si>
    <t>Intuitive Machines</t>
  </si>
  <si>
    <t>IM-1 and IM-2 lunar lander missions</t>
  </si>
  <si>
    <t>intuitivemachines.com</t>
  </si>
  <si>
    <t>#16</t>
  </si>
  <si>
    <t>M25</t>
  </si>
  <si>
    <t>Lunar Gateway programme cancellation announcement</t>
  </si>
  <si>
    <t>NASA, March 2026</t>
  </si>
  <si>
    <t>News</t>
  </si>
  <si>
    <t>M26</t>
  </si>
  <si>
    <t>Varda Space Industries / Space Forge</t>
  </si>
  <si>
    <t>In-space manufacturing platform mission profiles</t>
  </si>
  <si>
    <t>varda.com / spaceforge.com</t>
  </si>
  <si>
    <t>#32</t>
  </si>
  <si>
    <t>Commercial and operator sources</t>
  </si>
  <si>
    <t>C01</t>
  </si>
  <si>
    <t>Magdrive Ltd</t>
  </si>
  <si>
    <t>SuperMagdrive product specification</t>
  </si>
  <si>
    <t>Company product documentation</t>
  </si>
  <si>
    <t>magdrive.space</t>
  </si>
  <si>
    <t>Commercial</t>
  </si>
  <si>
    <t>#28, #29</t>
  </si>
  <si>
    <t>C02</t>
  </si>
  <si>
    <t>Warlock product specification</t>
  </si>
  <si>
    <t>#4, #30, #31, #32</t>
  </si>
  <si>
    <t>C03</t>
  </si>
  <si>
    <t>Magdrive Ltd / U.S. Space Force</t>
  </si>
  <si>
    <t>Hyperspace Challenge accelerator programme</t>
  </si>
  <si>
    <t>Programme documentation</t>
  </si>
  <si>
    <t>hyperspacechallenge.com</t>
  </si>
  <si>
    <t>C04</t>
  </si>
  <si>
    <t>SpaceX</t>
  </si>
  <si>
    <t>Starlink constellation collision-avoidance and station-keeping report</t>
  </si>
  <si>
    <t>Semi-annual constellation report to the U.S. Federal Communications Commission</t>
  </si>
  <si>
    <t>fcc.gov (IBFS filings)</t>
  </si>
  <si>
    <t>Operator data</t>
  </si>
  <si>
    <t>#1, #4</t>
  </si>
  <si>
    <t>C05</t>
  </si>
  <si>
    <t>United States Space Force</t>
  </si>
  <si>
    <t>Spacepower: Doctrine for Space Forces</t>
  </si>
  <si>
    <t>Space Capstone Publication, June 2020</t>
  </si>
  <si>
    <t>spaceforce.mil</t>
  </si>
  <si>
    <t>Doctrine</t>
  </si>
  <si>
    <t>#11</t>
  </si>
  <si>
    <t>Derived in this work</t>
  </si>
  <si>
    <t>D01</t>
  </si>
  <si>
    <t>First-principles derivation</t>
  </si>
  <si>
    <t>Derived in this work; method documented in the Notes column of the Mission Profiles sheet</t>
  </si>
  <si>
    <t>Derived</t>
  </si>
  <si>
    <t>#1, #10, #13</t>
  </si>
  <si>
    <t>Mission class</t>
  </si>
  <si>
    <t>Representative examples</t>
  </si>
  <si>
    <t>Low ΔV</t>
  </si>
  <si>
    <t>&lt; 50</t>
  </si>
  <si>
    <t>Asteroid proximity, Apophis proximity, Lagrange SK (L1/L2/NRHO), frozen lunar (incl. PSR), SE-L1 sentinel, interstellar precursor, distributed aperture swarm</t>
  </si>
  <si>
    <t>Medium ΔV</t>
  </si>
  <si>
    <t>50 – 500</t>
  </si>
  <si>
    <t>LEO ops and deorbit, LLO, GEO graveyard, icy moon orbiter, Titan orbiter, Phobos proximity, cislunar comms relay, VLEO drag compensation</t>
  </si>
  <si>
    <t>High ΔV</t>
  </si>
  <si>
    <t>&gt; 500</t>
  </si>
  <si>
    <t>GEO SK lifetime, GEO co-orbital proximity, small-body touring, comet escort, LEO→GEO raising, cislunar tug, ISAM servicer</t>
  </si>
  <si>
    <t>Rep. total impulse (Ns)</t>
  </si>
  <si>
    <t>Exact Tsiolkovsky rather than the impulsive approximation I = m·Δv. The two agree to better than 0.5% for the low-ΔV profiles that dominate the core set, but diverge at high ΔV; for Ref #28 (LEO-to-GEO raising) the exact figure is 2,543,317 Ns against 3,000,000 Ns impulsive, a 15% difference.</t>
  </si>
  <si>
    <t>The thesis body quotes rounded impulsive figures for the core ten (e.g. 10,000 Ns for VLEO against 9,972 Ns here). The difference is presentational and does not affect any closure result.</t>
  </si>
  <si>
    <t>Rep. total
impulse (Ns)</t>
  </si>
  <si>
    <t>A small companion craft for proximity operations and imaging at asteroid 99942 Apophis during its 13 April 2029 Earth close approach (~32,000 km, inside GEO). NOT a rendezvous: matching/accompanying Apophis needs ~1,530 m/s transfer ΔV (~36,600 Ns, 12× over Rogue-public) - infeasible for Rogue. The feasible architecture is the proximity phase only, delivered by a carrier (or deployed as a sub-craft, as ESA Ramses carries CubeSats): hover-box station-keeping and ~15 km Sun-phase imaging over a ~6-month campaign. 375 Ns, T2; closes on Rogue-public I_bit + RTG+. READINESS GAP: needs ≥100 µNs I_bit, not the confirmed 2026 demo value, on a ~2028-launch timeline - an aspirational pull-through.</t>
  </si>
  <si>
    <t>• Deep-dive nominal impulses: #21 asteroid proximity 50 Ns; #19 Apophis 375 Ns; #2 VLEO 9,972 Ns; #11 GEO co-orbital 12,412 Ns; #26 icy moon 14,958 Ns.</t>
  </si>
  <si>
    <t>Bibliography - sources for the 35-profile mission set</t>
  </si>
  <si>
    <t>MicroNEP - Mission Profiles and ΔV Budget</t>
  </si>
  <si>
    <t>Mission class summary - ΔV banding</t>
  </si>
  <si>
    <t>35 candidate profiles. Source keys resolve to the Bibliography sheet. Representative impulse from exact Tsiolkovsky at Isp = 1800 s - see README.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</si>
</sst>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6"/>
      <color rgb="FF1F3864"/>
      <name val="Arial"/>
      <family val="2"/>
      <charset val="1"/>
    </font>
    <font>
      <i/>
      <sz val="11"/>
      <name val="Arial"/>
      <family val="2"/>
      <charset val="1"/>
    </font>
    <font>
      <b/>
      <sz val="11"/>
      <color rgb="FF1F3864"/>
      <name val="Arial"/>
      <family val="2"/>
      <charset val="1"/>
    </font>
    <font>
      <b/>
      <sz val="11"/>
      <name val="Arial"/>
      <family val="2"/>
      <charset val="1"/>
    </font>
    <font>
      <sz val="11"/>
      <name val="Arial"/>
      <family val="2"/>
      <charset val="1"/>
    </font>
    <font>
      <sz val="9"/>
      <name val="Arial"/>
      <family val="2"/>
    </font>
    <font>
      <b/>
      <sz val="20"/>
      <color rgb="FF1F3864"/>
      <name val="Arial"/>
      <family val="2"/>
      <charset val="1"/>
    </font>
    <font>
      <sz val="18"/>
      <color theme="1"/>
      <name val="Calibri"/>
      <family val="2"/>
      <charset val="1"/>
    </font>
    <font>
      <i/>
      <sz val="16"/>
      <name val="Arial"/>
      <family val="2"/>
      <charset val="1"/>
    </font>
    <font>
      <b/>
      <sz val="14"/>
      <color rgb="FFFFFFFF"/>
      <name val="Arial"/>
      <family val="2"/>
      <charset val="1"/>
    </font>
    <font>
      <b/>
      <sz val="14"/>
      <color rgb="FF1F3864"/>
      <name val="Arial"/>
      <family val="2"/>
      <charset val="1"/>
    </font>
    <font>
      <sz val="14"/>
      <name val="Arial"/>
      <family val="2"/>
      <charset val="1"/>
    </font>
    <font>
      <sz val="14"/>
      <color theme="1"/>
      <name val="Calibri"/>
      <family val="2"/>
      <charset val="1"/>
    </font>
    <font>
      <b/>
      <sz val="12"/>
      <name val="Arial"/>
      <family val="2"/>
      <charset val="1"/>
    </font>
    <font>
      <sz val="12"/>
      <color theme="1"/>
      <name val="Calibri"/>
      <family val="2"/>
      <charset val="1"/>
    </font>
    <font>
      <i/>
      <sz val="12"/>
      <name val="Arial"/>
      <family val="2"/>
      <charset val="1"/>
    </font>
    <font>
      <sz val="16"/>
      <color theme="1"/>
      <name val="Calibri"/>
      <family val="2"/>
      <charset val="1"/>
    </font>
    <font>
      <b/>
      <sz val="11"/>
      <color rgb="FFFFFFFF"/>
      <name val="Arial"/>
      <family val="2"/>
      <charset val="1"/>
    </font>
    <font>
      <sz val="11"/>
      <name val="Arial"/>
      <family val="2"/>
    </font>
    <font>
      <b/>
      <sz val="11"/>
      <color rgb="FF1F3864"/>
      <name val="Arial"/>
      <family val="2"/>
    </font>
    <font>
      <b/>
      <sz val="16"/>
      <color rgb="FF1F3864"/>
      <name val="Arial"/>
      <family val="2"/>
    </font>
    <font>
      <b/>
      <sz val="12"/>
      <color rgb="FFFFFFFF"/>
      <name val="Arial"/>
      <family val="2"/>
    </font>
  </fonts>
  <fills count="4">
    <fill>
      <patternFill patternType="none"/>
    </fill>
    <fill>
      <patternFill patternType="gray125"/>
    </fill>
    <fill>
      <patternFill patternType="solid">
        <fgColor rgb="FF1F3864"/>
        <bgColor rgb="FF333333"/>
      </patternFill>
    </fill>
    <fill>
      <patternFill patternType="solid">
        <fgColor rgb="FFD6DCE5"/>
        <bgColor rgb="FFC6EFCE"/>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11" fillId="3" borderId="2" xfId="0" applyFont="1" applyFill="1" applyBorder="1" applyAlignment="1">
      <alignment horizontal="left" vertical="center"/>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7" fillId="0" borderId="0" xfId="0" applyFont="1"/>
    <xf numFmtId="0" fontId="8" fillId="0" borderId="0" xfId="0" applyFont="1"/>
    <xf numFmtId="0" fontId="9" fillId="0" borderId="0" xfId="0" applyFont="1"/>
    <xf numFmtId="0" fontId="10" fillId="2" borderId="1" xfId="0" applyFont="1" applyFill="1" applyBorder="1" applyAlignment="1">
      <alignment horizontal="center" vertical="center"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xf numFmtId="3" fontId="12" fillId="0" borderId="1" xfId="0" applyNumberFormat="1" applyFont="1" applyBorder="1" applyAlignment="1">
      <alignment horizontal="center" vertical="top" wrapText="1"/>
    </xf>
    <xf numFmtId="0" fontId="11" fillId="3" borderId="1" xfId="0" applyFont="1" applyFill="1" applyBorder="1" applyAlignment="1">
      <alignment horizontal="left" vertical="center"/>
    </xf>
    <xf numFmtId="0" fontId="13" fillId="3" borderId="1" xfId="0" applyFont="1" applyFill="1" applyBorder="1" applyAlignment="1">
      <alignment horizontal="left" vertical="center"/>
    </xf>
    <xf numFmtId="0" fontId="0" fillId="0" borderId="0" xfId="0" applyAlignment="1">
      <alignment horizontal="left" vertical="center"/>
    </xf>
    <xf numFmtId="0" fontId="14" fillId="0" borderId="0" xfId="0" applyFont="1"/>
    <xf numFmtId="0" fontId="15" fillId="0" borderId="0" xfId="0" applyFont="1"/>
    <xf numFmtId="0" fontId="17" fillId="0" borderId="0" xfId="0" applyFont="1"/>
    <xf numFmtId="0" fontId="6" fillId="0" borderId="0" xfId="0" applyFont="1" applyAlignment="1">
      <alignment horizontal="center" vertical="top" wrapText="1"/>
    </xf>
    <xf numFmtId="0" fontId="6" fillId="0" borderId="0" xfId="0" applyFont="1" applyAlignment="1">
      <alignment horizontal="left" vertical="top" wrapText="1"/>
    </xf>
    <xf numFmtId="0" fontId="18" fillId="2" borderId="1" xfId="0" applyFont="1" applyFill="1" applyBorder="1" applyAlignment="1">
      <alignment horizontal="center" vertical="center"/>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applyFont="1" applyBorder="1" applyAlignment="1">
      <alignment horizontal="left" vertical="top" wrapText="1"/>
    </xf>
    <xf numFmtId="0" fontId="21" fillId="0" borderId="0" xfId="0" applyFont="1"/>
    <xf numFmtId="0" fontId="22" fillId="2" borderId="1" xfId="0" applyFont="1" applyFill="1" applyBorder="1" applyAlignment="1">
      <alignment horizontal="center" vertical="center" wrapText="1"/>
    </xf>
    <xf numFmtId="0" fontId="16" fillId="0" borderId="0" xfId="0" applyFont="1"/>
    <xf numFmtId="0" fontId="11" fillId="3" borderId="2" xfId="0" applyFont="1" applyFill="1" applyBorder="1" applyAlignment="1">
      <alignment horizontal="left" vertical="center"/>
    </xf>
    <xf numFmtId="0" fontId="20" fillId="3" borderId="3" xfId="0" applyFont="1" applyFill="1" applyBorder="1" applyAlignment="1">
      <alignment horizontal="left" vertical="center"/>
    </xf>
    <xf numFmtId="0" fontId="20" fillId="3" borderId="4" xfId="0" applyFont="1" applyFill="1" applyBorder="1" applyAlignment="1">
      <alignment horizontal="left" vertical="center"/>
    </xf>
    <xf numFmtId="0" fontId="20" fillId="3" borderId="5" xfId="0" applyFont="1" applyFill="1" applyBorder="1" applyAlignment="1">
      <alignment horizontal="left" vertical="center"/>
    </xf>
    <xf numFmtId="0" fontId="20" fillId="3" borderId="3"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20" fillId="3"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zoomScaleNormal="100" workbookViewId="0">
      <selection activeCell="B21" sqref="B21"/>
    </sheetView>
  </sheetViews>
  <sheetFormatPr baseColWidth="10" defaultColWidth="8.6640625" defaultRowHeight="15" x14ac:dyDescent="0.2"/>
  <cols>
    <col min="1" max="1" width="22" customWidth="1"/>
    <col min="2" max="2" width="108" customWidth="1"/>
  </cols>
  <sheetData>
    <row r="1" spans="1:2" ht="19.5" customHeight="1" x14ac:dyDescent="0.2">
      <c r="A1" s="2" t="s">
        <v>696</v>
      </c>
    </row>
    <row r="2" spans="1:2" ht="15" customHeight="1" x14ac:dyDescent="0.2">
      <c r="A2" s="3" t="s">
        <v>0</v>
      </c>
    </row>
    <row r="4" spans="1:2" ht="15" customHeight="1" x14ac:dyDescent="0.2">
      <c r="A4" s="4" t="s">
        <v>1</v>
      </c>
    </row>
    <row r="5" spans="1:2" ht="42" customHeight="1" x14ac:dyDescent="0.2">
      <c r="A5" s="5"/>
      <c r="B5" s="6" t="s">
        <v>2</v>
      </c>
    </row>
    <row r="7" spans="1:2" ht="15" customHeight="1" x14ac:dyDescent="0.2">
      <c r="A7" s="4" t="s">
        <v>3</v>
      </c>
    </row>
    <row r="8" spans="1:2" ht="15" customHeight="1" x14ac:dyDescent="0.2">
      <c r="A8" s="5" t="s">
        <v>4</v>
      </c>
      <c r="B8" s="6" t="s">
        <v>5</v>
      </c>
    </row>
    <row r="9" spans="1:2" ht="15" customHeight="1" x14ac:dyDescent="0.2">
      <c r="A9" s="5" t="s">
        <v>6</v>
      </c>
      <c r="B9" s="6" t="s">
        <v>7</v>
      </c>
    </row>
    <row r="10" spans="1:2" ht="15" customHeight="1" x14ac:dyDescent="0.2">
      <c r="A10" s="5" t="s">
        <v>8</v>
      </c>
      <c r="B10" s="6" t="s">
        <v>9</v>
      </c>
    </row>
    <row r="12" spans="1:2" ht="15" customHeight="1" x14ac:dyDescent="0.2">
      <c r="A12" s="4" t="s">
        <v>10</v>
      </c>
    </row>
    <row r="13" spans="1:2" ht="25.5" customHeight="1" x14ac:dyDescent="0.2">
      <c r="A13" s="5" t="s">
        <v>11</v>
      </c>
      <c r="B13" s="6" t="s">
        <v>12</v>
      </c>
    </row>
    <row r="14" spans="1:2" ht="25.5" customHeight="1" x14ac:dyDescent="0.2">
      <c r="A14" s="5" t="s">
        <v>13</v>
      </c>
      <c r="B14" s="6" t="s">
        <v>14</v>
      </c>
    </row>
    <row r="15" spans="1:2" ht="25.5" customHeight="1" x14ac:dyDescent="0.2">
      <c r="A15" s="5" t="s">
        <v>15</v>
      </c>
      <c r="B15" s="6" t="s">
        <v>16</v>
      </c>
    </row>
    <row r="16" spans="1:2" ht="25.5" customHeight="1" x14ac:dyDescent="0.2">
      <c r="A16" s="5" t="s">
        <v>17</v>
      </c>
      <c r="B16" s="6" t="s">
        <v>18</v>
      </c>
    </row>
    <row r="17" spans="1:2" ht="25.5" customHeight="1" x14ac:dyDescent="0.2">
      <c r="A17" s="5" t="s">
        <v>19</v>
      </c>
      <c r="B17" s="6" t="s">
        <v>20</v>
      </c>
    </row>
    <row r="18" spans="1:2" ht="25.5" customHeight="1" x14ac:dyDescent="0.2">
      <c r="A18" s="5" t="s">
        <v>21</v>
      </c>
      <c r="B18" s="6" t="s">
        <v>22</v>
      </c>
    </row>
    <row r="19" spans="1:2" ht="25.5" customHeight="1" x14ac:dyDescent="0.2">
      <c r="A19" s="5" t="s">
        <v>689</v>
      </c>
      <c r="B19" s="6" t="s">
        <v>23</v>
      </c>
    </row>
    <row r="20" spans="1:2" ht="25.5" customHeight="1" x14ac:dyDescent="0.2">
      <c r="A20" s="5" t="s">
        <v>24</v>
      </c>
      <c r="B20" s="6" t="s">
        <v>25</v>
      </c>
    </row>
    <row r="21" spans="1:2" ht="25.5" customHeight="1" x14ac:dyDescent="0.2">
      <c r="A21" s="5" t="s">
        <v>26</v>
      </c>
      <c r="B21" s="6" t="s">
        <v>27</v>
      </c>
    </row>
    <row r="22" spans="1:2" ht="25.5" customHeight="1" x14ac:dyDescent="0.2">
      <c r="A22" s="5" t="s">
        <v>28</v>
      </c>
      <c r="B22" s="6" t="s">
        <v>29</v>
      </c>
    </row>
    <row r="24" spans="1:2" ht="15" customHeight="1" x14ac:dyDescent="0.2">
      <c r="A24" s="4" t="s">
        <v>30</v>
      </c>
    </row>
    <row r="25" spans="1:2" ht="15" customHeight="1" x14ac:dyDescent="0.2">
      <c r="A25" s="5" t="s">
        <v>31</v>
      </c>
      <c r="B25" s="6" t="s">
        <v>32</v>
      </c>
    </row>
    <row r="26" spans="1:2" ht="42" customHeight="1" x14ac:dyDescent="0.2">
      <c r="A26" s="5" t="s">
        <v>33</v>
      </c>
      <c r="B26" s="6" t="s">
        <v>690</v>
      </c>
    </row>
    <row r="27" spans="1:2" ht="30" customHeight="1" x14ac:dyDescent="0.2">
      <c r="A27" s="5" t="s">
        <v>34</v>
      </c>
      <c r="B27" s="6" t="s">
        <v>691</v>
      </c>
    </row>
    <row r="28" spans="1:2" ht="15" customHeight="1" x14ac:dyDescent="0.2">
      <c r="A28" s="4" t="s">
        <v>35</v>
      </c>
    </row>
    <row r="29" spans="1:2" ht="15" customHeight="1" x14ac:dyDescent="0.2">
      <c r="A29" s="5" t="s">
        <v>36</v>
      </c>
      <c r="B29" s="6" t="s">
        <v>37</v>
      </c>
    </row>
    <row r="30" spans="1:2" ht="15" customHeight="1" x14ac:dyDescent="0.2">
      <c r="A30" s="5" t="s">
        <v>38</v>
      </c>
      <c r="B30" s="6"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
  <sheetViews>
    <sheetView tabSelected="1" zoomScale="80" zoomScaleNormal="80" workbookViewId="0">
      <selection activeCell="J6" sqref="J6"/>
    </sheetView>
  </sheetViews>
  <sheetFormatPr baseColWidth="10" defaultColWidth="8.6640625" defaultRowHeight="15" x14ac:dyDescent="0.2"/>
  <cols>
    <col min="1" max="1" width="6" customWidth="1"/>
    <col min="2" max="2" width="34" customWidth="1"/>
    <col min="3" max="5" width="11" customWidth="1"/>
    <col min="6" max="6" width="13" customWidth="1"/>
    <col min="7" max="8" width="9" customWidth="1"/>
    <col min="9" max="9" width="12" customWidth="1"/>
    <col min="10" max="10" width="101.6640625" customWidth="1"/>
    <col min="11" max="11" width="16" customWidth="1"/>
    <col min="12" max="12" width="18" customWidth="1"/>
    <col min="13" max="13" width="44" customWidth="1"/>
  </cols>
  <sheetData>
    <row r="1" spans="1:13" ht="25.5" customHeight="1" x14ac:dyDescent="0.3">
      <c r="A1" s="7" t="s">
        <v>696</v>
      </c>
      <c r="B1" s="8"/>
      <c r="C1" s="8"/>
      <c r="D1" s="8"/>
      <c r="E1" s="8"/>
      <c r="F1" s="8"/>
      <c r="G1" s="8"/>
      <c r="H1" s="8"/>
    </row>
    <row r="2" spans="1:13" ht="24" customHeight="1" x14ac:dyDescent="0.3">
      <c r="A2" s="9" t="s">
        <v>698</v>
      </c>
      <c r="B2" s="8"/>
      <c r="C2" s="8"/>
      <c r="D2" s="8"/>
      <c r="E2" s="8"/>
      <c r="F2" s="8"/>
      <c r="G2" s="8"/>
      <c r="H2" s="8"/>
    </row>
    <row r="4" spans="1:13" ht="33.75" customHeight="1" x14ac:dyDescent="0.2">
      <c r="A4" s="10" t="s">
        <v>11</v>
      </c>
      <c r="B4" s="10" t="s">
        <v>40</v>
      </c>
      <c r="C4" s="10" t="s">
        <v>41</v>
      </c>
      <c r="D4" s="10" t="s">
        <v>42</v>
      </c>
      <c r="E4" s="10" t="s">
        <v>43</v>
      </c>
      <c r="F4" s="10" t="s">
        <v>44</v>
      </c>
      <c r="G4" s="10" t="s">
        <v>45</v>
      </c>
      <c r="H4" s="10" t="s">
        <v>46</v>
      </c>
      <c r="I4" s="10" t="s">
        <v>692</v>
      </c>
      <c r="J4" s="10" t="s">
        <v>47</v>
      </c>
      <c r="K4" s="10" t="s">
        <v>28</v>
      </c>
      <c r="L4" s="10" t="s">
        <v>48</v>
      </c>
      <c r="M4" s="10" t="s">
        <v>49</v>
      </c>
    </row>
    <row r="5" spans="1:13" s="1" customFormat="1" ht="31.5" customHeight="1" x14ac:dyDescent="0.2">
      <c r="A5" s="30" t="s">
        <v>50</v>
      </c>
      <c r="B5" s="30"/>
      <c r="C5" s="30"/>
      <c r="D5" s="30"/>
      <c r="E5" s="30"/>
      <c r="F5" s="30"/>
      <c r="G5" s="30"/>
      <c r="H5" s="30"/>
      <c r="I5" s="30"/>
      <c r="J5" s="30"/>
      <c r="K5" s="30"/>
      <c r="L5" s="30"/>
      <c r="M5" s="30"/>
    </row>
    <row r="6" spans="1:13" ht="117.75" customHeight="1" x14ac:dyDescent="0.2">
      <c r="A6" s="11">
        <v>1</v>
      </c>
      <c r="B6" s="12" t="s">
        <v>51</v>
      </c>
      <c r="C6" s="11" t="s">
        <v>52</v>
      </c>
      <c r="D6" s="11" t="s">
        <v>53</v>
      </c>
      <c r="E6" s="11" t="s">
        <v>54</v>
      </c>
      <c r="F6" s="11" t="s">
        <v>55</v>
      </c>
      <c r="G6" s="11">
        <v>10</v>
      </c>
      <c r="H6" s="11">
        <v>50</v>
      </c>
      <c r="I6" s="13">
        <f t="shared" ref="I6:I18" si="0">ROUND(1800*9.80665*H6*(1-EXP(-G6/(1800*9.80665))),0)</f>
        <v>500</v>
      </c>
      <c r="J6" s="12" t="s">
        <v>56</v>
      </c>
      <c r="K6" s="12" t="s">
        <v>57</v>
      </c>
      <c r="L6" s="12" t="s">
        <v>58</v>
      </c>
      <c r="M6" s="12" t="s">
        <v>59</v>
      </c>
    </row>
    <row r="7" spans="1:13" ht="148.5" customHeight="1" x14ac:dyDescent="0.2">
      <c r="A7" s="11">
        <v>2</v>
      </c>
      <c r="B7" s="12" t="s">
        <v>60</v>
      </c>
      <c r="C7" s="11" t="s">
        <v>61</v>
      </c>
      <c r="D7" s="11" t="s">
        <v>62</v>
      </c>
      <c r="E7" s="11" t="s">
        <v>63</v>
      </c>
      <c r="F7" s="11" t="s">
        <v>64</v>
      </c>
      <c r="G7" s="11">
        <v>100</v>
      </c>
      <c r="H7" s="11">
        <v>100</v>
      </c>
      <c r="I7" s="13">
        <f t="shared" si="0"/>
        <v>9972</v>
      </c>
      <c r="J7" s="12" t="s">
        <v>65</v>
      </c>
      <c r="K7" s="12" t="s">
        <v>66</v>
      </c>
      <c r="L7" s="12" t="s">
        <v>58</v>
      </c>
      <c r="M7" s="12" t="s">
        <v>67</v>
      </c>
    </row>
    <row r="8" spans="1:13" ht="117.75" customHeight="1" x14ac:dyDescent="0.2">
      <c r="A8" s="11">
        <v>3</v>
      </c>
      <c r="B8" s="12" t="s">
        <v>68</v>
      </c>
      <c r="C8" s="11" t="s">
        <v>69</v>
      </c>
      <c r="D8" s="11" t="s">
        <v>70</v>
      </c>
      <c r="E8" s="11" t="s">
        <v>61</v>
      </c>
      <c r="F8" s="11" t="s">
        <v>64</v>
      </c>
      <c r="G8" s="11">
        <v>100</v>
      </c>
      <c r="H8" s="11">
        <v>100</v>
      </c>
      <c r="I8" s="13">
        <f t="shared" si="0"/>
        <v>9972</v>
      </c>
      <c r="J8" s="12" t="s">
        <v>71</v>
      </c>
      <c r="K8" s="12" t="s">
        <v>72</v>
      </c>
      <c r="L8" s="12" t="s">
        <v>58</v>
      </c>
      <c r="M8" s="12" t="s">
        <v>73</v>
      </c>
    </row>
    <row r="9" spans="1:13" ht="117.75" customHeight="1" x14ac:dyDescent="0.2">
      <c r="A9" s="11">
        <v>4</v>
      </c>
      <c r="B9" s="12" t="s">
        <v>74</v>
      </c>
      <c r="C9" s="11" t="s">
        <v>75</v>
      </c>
      <c r="D9" s="11" t="s">
        <v>53</v>
      </c>
      <c r="E9" s="11" t="s">
        <v>76</v>
      </c>
      <c r="F9" s="11" t="s">
        <v>77</v>
      </c>
      <c r="G9" s="11">
        <v>200</v>
      </c>
      <c r="H9" s="11">
        <v>800</v>
      </c>
      <c r="I9" s="13">
        <f t="shared" si="0"/>
        <v>159097</v>
      </c>
      <c r="J9" s="12" t="s">
        <v>78</v>
      </c>
      <c r="K9" s="12" t="s">
        <v>79</v>
      </c>
      <c r="L9" s="12" t="s">
        <v>80</v>
      </c>
      <c r="M9" s="12" t="s">
        <v>81</v>
      </c>
    </row>
    <row r="10" spans="1:13" ht="117.75" customHeight="1" x14ac:dyDescent="0.2">
      <c r="A10" s="11">
        <v>5</v>
      </c>
      <c r="B10" s="12" t="s">
        <v>82</v>
      </c>
      <c r="C10" s="11" t="s">
        <v>62</v>
      </c>
      <c r="D10" s="11" t="s">
        <v>83</v>
      </c>
      <c r="E10" s="11" t="s">
        <v>84</v>
      </c>
      <c r="F10" s="11" t="s">
        <v>85</v>
      </c>
      <c r="G10" s="11">
        <v>5</v>
      </c>
      <c r="H10" s="11">
        <v>1000</v>
      </c>
      <c r="I10" s="13">
        <f t="shared" si="0"/>
        <v>4999</v>
      </c>
      <c r="J10" s="12" t="s">
        <v>86</v>
      </c>
      <c r="K10" s="12" t="s">
        <v>87</v>
      </c>
      <c r="L10" s="12" t="s">
        <v>58</v>
      </c>
      <c r="M10" s="12" t="s">
        <v>88</v>
      </c>
    </row>
    <row r="11" spans="1:13" ht="117.75" customHeight="1" x14ac:dyDescent="0.2">
      <c r="A11" s="11">
        <v>6</v>
      </c>
      <c r="B11" s="12" t="s">
        <v>89</v>
      </c>
      <c r="C11" s="11" t="s">
        <v>69</v>
      </c>
      <c r="D11" s="11" t="s">
        <v>70</v>
      </c>
      <c r="E11" s="11" t="s">
        <v>61</v>
      </c>
      <c r="F11" s="11" t="s">
        <v>85</v>
      </c>
      <c r="G11" s="11">
        <v>100</v>
      </c>
      <c r="H11" s="11">
        <v>1000</v>
      </c>
      <c r="I11" s="13">
        <f t="shared" si="0"/>
        <v>99717</v>
      </c>
      <c r="J11" s="12" t="s">
        <v>90</v>
      </c>
      <c r="K11" s="12" t="s">
        <v>91</v>
      </c>
      <c r="L11" s="12" t="s">
        <v>58</v>
      </c>
      <c r="M11" s="12" t="s">
        <v>92</v>
      </c>
    </row>
    <row r="12" spans="1:13" ht="117.75" customHeight="1" x14ac:dyDescent="0.2">
      <c r="A12" s="11">
        <v>7</v>
      </c>
      <c r="B12" s="12" t="s">
        <v>93</v>
      </c>
      <c r="C12" s="11" t="s">
        <v>94</v>
      </c>
      <c r="D12" s="11" t="s">
        <v>83</v>
      </c>
      <c r="E12" s="11" t="s">
        <v>95</v>
      </c>
      <c r="F12" s="11" t="s">
        <v>96</v>
      </c>
      <c r="G12" s="11">
        <v>50</v>
      </c>
      <c r="H12" s="11">
        <v>3000</v>
      </c>
      <c r="I12" s="13">
        <f t="shared" si="0"/>
        <v>149788</v>
      </c>
      <c r="J12" s="12" t="s">
        <v>97</v>
      </c>
      <c r="K12" s="12" t="s">
        <v>98</v>
      </c>
      <c r="L12" s="12" t="s">
        <v>99</v>
      </c>
      <c r="M12" s="12" t="s">
        <v>100</v>
      </c>
    </row>
    <row r="13" spans="1:13" ht="117.75" customHeight="1" x14ac:dyDescent="0.2">
      <c r="A13" s="11">
        <v>8</v>
      </c>
      <c r="B13" s="12" t="s">
        <v>101</v>
      </c>
      <c r="C13" s="11" t="s">
        <v>69</v>
      </c>
      <c r="D13" s="11" t="s">
        <v>102</v>
      </c>
      <c r="E13" s="11" t="s">
        <v>83</v>
      </c>
      <c r="F13" s="11" t="s">
        <v>96</v>
      </c>
      <c r="G13" s="11">
        <v>12</v>
      </c>
      <c r="H13" s="11">
        <v>3000</v>
      </c>
      <c r="I13" s="13">
        <f t="shared" si="0"/>
        <v>35988</v>
      </c>
      <c r="J13" s="12" t="s">
        <v>103</v>
      </c>
      <c r="K13" s="12" t="s">
        <v>104</v>
      </c>
      <c r="L13" s="12" t="s">
        <v>99</v>
      </c>
      <c r="M13" s="12" t="s">
        <v>92</v>
      </c>
    </row>
    <row r="14" spans="1:13" ht="132.75" customHeight="1" x14ac:dyDescent="0.2">
      <c r="A14" s="11">
        <v>9</v>
      </c>
      <c r="B14" s="12" t="s">
        <v>105</v>
      </c>
      <c r="C14" s="11" t="s">
        <v>106</v>
      </c>
      <c r="D14" s="11" t="s">
        <v>107</v>
      </c>
      <c r="E14" s="11" t="s">
        <v>108</v>
      </c>
      <c r="F14" s="11" t="s">
        <v>109</v>
      </c>
      <c r="G14" s="11">
        <v>80</v>
      </c>
      <c r="H14" s="11">
        <v>25</v>
      </c>
      <c r="I14" s="13">
        <f t="shared" si="0"/>
        <v>1995</v>
      </c>
      <c r="J14" s="12" t="s">
        <v>110</v>
      </c>
      <c r="K14" s="12" t="s">
        <v>111</v>
      </c>
      <c r="L14" s="12" t="s">
        <v>112</v>
      </c>
      <c r="M14" s="12" t="s">
        <v>113</v>
      </c>
    </row>
    <row r="15" spans="1:13" ht="132" customHeight="1" x14ac:dyDescent="0.2">
      <c r="A15" s="11">
        <v>10</v>
      </c>
      <c r="B15" s="12" t="s">
        <v>114</v>
      </c>
      <c r="C15" s="11" t="s">
        <v>115</v>
      </c>
      <c r="D15" s="11" t="s">
        <v>53</v>
      </c>
      <c r="E15" s="11" t="s">
        <v>116</v>
      </c>
      <c r="F15" s="11" t="s">
        <v>117</v>
      </c>
      <c r="G15" s="11">
        <v>300</v>
      </c>
      <c r="H15" s="11">
        <v>2000</v>
      </c>
      <c r="I15" s="13">
        <f t="shared" si="0"/>
        <v>594930</v>
      </c>
      <c r="J15" s="12" t="s">
        <v>118</v>
      </c>
      <c r="K15" s="12" t="s">
        <v>119</v>
      </c>
      <c r="L15" s="12" t="s">
        <v>120</v>
      </c>
      <c r="M15" s="12" t="s">
        <v>121</v>
      </c>
    </row>
    <row r="16" spans="1:13" ht="129.75" customHeight="1" x14ac:dyDescent="0.2">
      <c r="A16" s="11">
        <v>11</v>
      </c>
      <c r="B16" s="12" t="s">
        <v>122</v>
      </c>
      <c r="C16" s="11" t="s">
        <v>61</v>
      </c>
      <c r="D16" s="11" t="s">
        <v>123</v>
      </c>
      <c r="E16" s="11" t="s">
        <v>124</v>
      </c>
      <c r="F16" s="11" t="s">
        <v>125</v>
      </c>
      <c r="G16" s="11">
        <v>250</v>
      </c>
      <c r="H16" s="11">
        <v>50</v>
      </c>
      <c r="I16" s="13">
        <f t="shared" si="0"/>
        <v>12412</v>
      </c>
      <c r="J16" s="12" t="s">
        <v>126</v>
      </c>
      <c r="K16" s="12" t="s">
        <v>127</v>
      </c>
      <c r="L16" s="12" t="s">
        <v>80</v>
      </c>
      <c r="M16" s="12" t="s">
        <v>128</v>
      </c>
    </row>
    <row r="17" spans="1:13" ht="117.75" customHeight="1" x14ac:dyDescent="0.2">
      <c r="A17" s="11">
        <v>12</v>
      </c>
      <c r="B17" s="12" t="s">
        <v>129</v>
      </c>
      <c r="C17" s="11" t="s">
        <v>130</v>
      </c>
      <c r="D17" s="11" t="s">
        <v>123</v>
      </c>
      <c r="E17" s="11" t="s">
        <v>131</v>
      </c>
      <c r="F17" s="11" t="s">
        <v>132</v>
      </c>
      <c r="G17" s="11">
        <v>100</v>
      </c>
      <c r="H17" s="11">
        <v>50</v>
      </c>
      <c r="I17" s="13">
        <f t="shared" si="0"/>
        <v>4986</v>
      </c>
      <c r="J17" s="12" t="s">
        <v>133</v>
      </c>
      <c r="K17" s="12" t="s">
        <v>134</v>
      </c>
      <c r="L17" s="12" t="s">
        <v>120</v>
      </c>
      <c r="M17" s="12" t="s">
        <v>135</v>
      </c>
    </row>
    <row r="18" spans="1:13" ht="147.75" customHeight="1" x14ac:dyDescent="0.2">
      <c r="A18" s="11">
        <v>35</v>
      </c>
      <c r="B18" s="12" t="s">
        <v>136</v>
      </c>
      <c r="C18" s="11" t="s">
        <v>137</v>
      </c>
      <c r="D18" s="11" t="s">
        <v>138</v>
      </c>
      <c r="E18" s="11" t="s">
        <v>54</v>
      </c>
      <c r="F18" s="11" t="s">
        <v>139</v>
      </c>
      <c r="G18" s="11">
        <v>10</v>
      </c>
      <c r="H18" s="11">
        <v>20</v>
      </c>
      <c r="I18" s="13">
        <f t="shared" si="0"/>
        <v>200</v>
      </c>
      <c r="J18" s="12" t="s">
        <v>140</v>
      </c>
      <c r="K18" s="12" t="s">
        <v>141</v>
      </c>
      <c r="L18" s="12" t="s">
        <v>142</v>
      </c>
      <c r="M18" s="12" t="s">
        <v>143</v>
      </c>
    </row>
    <row r="19" spans="1:13" s="1" customFormat="1" ht="30" customHeight="1" x14ac:dyDescent="0.2">
      <c r="A19" s="30" t="s">
        <v>144</v>
      </c>
      <c r="B19" s="30"/>
      <c r="C19" s="30"/>
      <c r="D19" s="30"/>
      <c r="E19" s="30"/>
      <c r="F19" s="30"/>
      <c r="G19" s="30"/>
      <c r="H19" s="30"/>
      <c r="I19" s="30"/>
      <c r="J19" s="30"/>
      <c r="K19" s="30"/>
      <c r="L19" s="30"/>
      <c r="M19" s="30"/>
    </row>
    <row r="20" spans="1:13" ht="117.75" customHeight="1" x14ac:dyDescent="0.2">
      <c r="A20" s="11">
        <v>13</v>
      </c>
      <c r="B20" s="12" t="s">
        <v>145</v>
      </c>
      <c r="C20" s="11" t="s">
        <v>146</v>
      </c>
      <c r="D20" s="11" t="s">
        <v>147</v>
      </c>
      <c r="E20" s="11" t="s">
        <v>148</v>
      </c>
      <c r="F20" s="11" t="s">
        <v>149</v>
      </c>
      <c r="G20" s="11">
        <v>3</v>
      </c>
      <c r="H20" s="11">
        <v>100</v>
      </c>
      <c r="I20" s="13">
        <f t="shared" ref="I20:I26" si="1">ROUND(1800*9.80665*H20*(1-EXP(-G20/(1800*9.80665))),0)</f>
        <v>300</v>
      </c>
      <c r="J20" s="12" t="s">
        <v>150</v>
      </c>
      <c r="K20" s="12" t="s">
        <v>151</v>
      </c>
      <c r="L20" s="12" t="s">
        <v>142</v>
      </c>
      <c r="M20" s="12" t="s">
        <v>152</v>
      </c>
    </row>
    <row r="21" spans="1:13" ht="132" customHeight="1" x14ac:dyDescent="0.2">
      <c r="A21" s="11">
        <v>14</v>
      </c>
      <c r="B21" s="12" t="s">
        <v>153</v>
      </c>
      <c r="C21" s="11" t="s">
        <v>154</v>
      </c>
      <c r="D21" s="11" t="s">
        <v>155</v>
      </c>
      <c r="E21" s="11" t="s">
        <v>148</v>
      </c>
      <c r="F21" s="11" t="s">
        <v>156</v>
      </c>
      <c r="G21" s="11">
        <v>3</v>
      </c>
      <c r="H21" s="11">
        <v>50</v>
      </c>
      <c r="I21" s="13">
        <f t="shared" si="1"/>
        <v>150</v>
      </c>
      <c r="J21" s="12" t="s">
        <v>157</v>
      </c>
      <c r="K21" s="12" t="s">
        <v>158</v>
      </c>
      <c r="L21" s="12" t="s">
        <v>142</v>
      </c>
      <c r="M21" s="12" t="s">
        <v>159</v>
      </c>
    </row>
    <row r="22" spans="1:13" ht="117.75" customHeight="1" x14ac:dyDescent="0.2">
      <c r="A22" s="11">
        <v>15</v>
      </c>
      <c r="B22" s="12" t="s">
        <v>160</v>
      </c>
      <c r="C22" s="11" t="s">
        <v>161</v>
      </c>
      <c r="D22" s="11" t="s">
        <v>53</v>
      </c>
      <c r="E22" s="11" t="s">
        <v>162</v>
      </c>
      <c r="F22" s="11" t="s">
        <v>163</v>
      </c>
      <c r="G22" s="11">
        <v>10</v>
      </c>
      <c r="H22" s="11">
        <v>50</v>
      </c>
      <c r="I22" s="13">
        <f t="shared" si="1"/>
        <v>500</v>
      </c>
      <c r="J22" s="12" t="s">
        <v>164</v>
      </c>
      <c r="K22" s="12" t="s">
        <v>165</v>
      </c>
      <c r="L22" s="12" t="s">
        <v>120</v>
      </c>
      <c r="M22" s="12" t="s">
        <v>166</v>
      </c>
    </row>
    <row r="23" spans="1:13" ht="117.75" customHeight="1" x14ac:dyDescent="0.2">
      <c r="A23" s="11">
        <v>16</v>
      </c>
      <c r="B23" s="12" t="s">
        <v>167</v>
      </c>
      <c r="C23" s="11" t="s">
        <v>161</v>
      </c>
      <c r="D23" s="11" t="s">
        <v>155</v>
      </c>
      <c r="E23" s="11" t="s">
        <v>162</v>
      </c>
      <c r="F23" s="11" t="s">
        <v>168</v>
      </c>
      <c r="G23" s="11">
        <v>15</v>
      </c>
      <c r="H23" s="11">
        <v>35</v>
      </c>
      <c r="I23" s="13">
        <f t="shared" si="1"/>
        <v>525</v>
      </c>
      <c r="J23" s="12" t="s">
        <v>169</v>
      </c>
      <c r="K23" s="12" t="s">
        <v>170</v>
      </c>
      <c r="L23" s="12" t="s">
        <v>142</v>
      </c>
      <c r="M23" s="12" t="s">
        <v>171</v>
      </c>
    </row>
    <row r="24" spans="1:13" ht="117.75" customHeight="1" x14ac:dyDescent="0.2">
      <c r="A24" s="11">
        <v>17</v>
      </c>
      <c r="B24" s="12" t="s">
        <v>172</v>
      </c>
      <c r="C24" s="11" t="s">
        <v>173</v>
      </c>
      <c r="D24" s="11" t="s">
        <v>174</v>
      </c>
      <c r="E24" s="11" t="s">
        <v>175</v>
      </c>
      <c r="F24" s="11" t="s">
        <v>176</v>
      </c>
      <c r="G24" s="11">
        <v>70</v>
      </c>
      <c r="H24" s="11">
        <v>500</v>
      </c>
      <c r="I24" s="13">
        <f t="shared" si="1"/>
        <v>34931</v>
      </c>
      <c r="J24" s="12" t="s">
        <v>177</v>
      </c>
      <c r="K24" s="12" t="s">
        <v>178</v>
      </c>
      <c r="L24" s="12" t="s">
        <v>120</v>
      </c>
      <c r="M24" s="12" t="s">
        <v>179</v>
      </c>
    </row>
    <row r="25" spans="1:13" ht="117.75" customHeight="1" x14ac:dyDescent="0.2">
      <c r="A25" s="11">
        <v>18</v>
      </c>
      <c r="B25" s="12" t="s">
        <v>180</v>
      </c>
      <c r="C25" s="11" t="s">
        <v>62</v>
      </c>
      <c r="D25" s="11" t="s">
        <v>62</v>
      </c>
      <c r="E25" s="11" t="s">
        <v>181</v>
      </c>
      <c r="F25" s="11" t="s">
        <v>63</v>
      </c>
      <c r="G25" s="11">
        <v>3</v>
      </c>
      <c r="H25" s="11">
        <v>50</v>
      </c>
      <c r="I25" s="13">
        <f t="shared" si="1"/>
        <v>150</v>
      </c>
      <c r="J25" s="12" t="s">
        <v>182</v>
      </c>
      <c r="K25" s="12" t="s">
        <v>183</v>
      </c>
      <c r="L25" s="12" t="s">
        <v>142</v>
      </c>
      <c r="M25" s="12" t="s">
        <v>184</v>
      </c>
    </row>
    <row r="26" spans="1:13" ht="117.75" customHeight="1" x14ac:dyDescent="0.2">
      <c r="A26" s="11">
        <v>27</v>
      </c>
      <c r="B26" s="12" t="s">
        <v>185</v>
      </c>
      <c r="C26" s="11" t="s">
        <v>154</v>
      </c>
      <c r="D26" s="11" t="s">
        <v>155</v>
      </c>
      <c r="E26" s="11" t="s">
        <v>148</v>
      </c>
      <c r="F26" s="11" t="s">
        <v>186</v>
      </c>
      <c r="G26" s="11">
        <v>3</v>
      </c>
      <c r="H26" s="11">
        <v>660</v>
      </c>
      <c r="I26" s="13">
        <f t="shared" si="1"/>
        <v>1980</v>
      </c>
      <c r="J26" s="12" t="s">
        <v>187</v>
      </c>
      <c r="K26" s="12" t="s">
        <v>188</v>
      </c>
      <c r="L26" s="12" t="s">
        <v>142</v>
      </c>
      <c r="M26" s="12" t="s">
        <v>189</v>
      </c>
    </row>
    <row r="27" spans="1:13" s="1" customFormat="1" ht="36.75" customHeight="1" x14ac:dyDescent="0.2">
      <c r="A27" s="30" t="s">
        <v>190</v>
      </c>
      <c r="B27" s="30"/>
      <c r="C27" s="30"/>
      <c r="D27" s="30"/>
      <c r="E27" s="30"/>
      <c r="F27" s="30"/>
      <c r="G27" s="30"/>
      <c r="H27" s="30"/>
      <c r="I27" s="30"/>
      <c r="J27" s="30"/>
      <c r="K27" s="30"/>
      <c r="L27" s="30"/>
      <c r="M27" s="30"/>
    </row>
    <row r="28" spans="1:13" ht="153.75" customHeight="1" x14ac:dyDescent="0.2">
      <c r="A28" s="11">
        <v>19</v>
      </c>
      <c r="B28" s="12" t="s">
        <v>191</v>
      </c>
      <c r="C28" s="11" t="s">
        <v>69</v>
      </c>
      <c r="D28" s="11" t="s">
        <v>192</v>
      </c>
      <c r="E28" s="11" t="s">
        <v>193</v>
      </c>
      <c r="F28" s="11" t="s">
        <v>194</v>
      </c>
      <c r="G28" s="11">
        <v>15</v>
      </c>
      <c r="H28" s="11">
        <v>25</v>
      </c>
      <c r="I28" s="13">
        <f>ROUND(1800*9.80665*H28*(1-EXP(-G28/(1800*9.80665))),0)</f>
        <v>375</v>
      </c>
      <c r="J28" s="12" t="s">
        <v>693</v>
      </c>
      <c r="K28" s="12" t="s">
        <v>195</v>
      </c>
      <c r="L28" s="12" t="s">
        <v>142</v>
      </c>
      <c r="M28" s="12" t="s">
        <v>196</v>
      </c>
    </row>
    <row r="29" spans="1:13" ht="117.75" customHeight="1" x14ac:dyDescent="0.2">
      <c r="A29" s="11">
        <v>20</v>
      </c>
      <c r="B29" s="12" t="s">
        <v>197</v>
      </c>
      <c r="C29" s="11" t="s">
        <v>53</v>
      </c>
      <c r="D29" s="11" t="s">
        <v>198</v>
      </c>
      <c r="E29" s="11" t="s">
        <v>193</v>
      </c>
      <c r="F29" s="11" t="s">
        <v>63</v>
      </c>
      <c r="G29" s="11">
        <v>8</v>
      </c>
      <c r="H29" s="11">
        <v>50</v>
      </c>
      <c r="I29" s="13">
        <f>ROUND(1800*9.80665*H29*(1-EXP(-G29/(1800*9.80665))),0)</f>
        <v>400</v>
      </c>
      <c r="J29" s="12" t="s">
        <v>199</v>
      </c>
      <c r="K29" s="12" t="s">
        <v>200</v>
      </c>
      <c r="L29" s="12" t="s">
        <v>142</v>
      </c>
      <c r="M29" s="12" t="s">
        <v>201</v>
      </c>
    </row>
    <row r="30" spans="1:13" ht="117.75" customHeight="1" x14ac:dyDescent="0.2">
      <c r="A30" s="11">
        <v>21</v>
      </c>
      <c r="B30" s="12" t="s">
        <v>202</v>
      </c>
      <c r="C30" s="11" t="s">
        <v>62</v>
      </c>
      <c r="D30" s="11" t="s">
        <v>198</v>
      </c>
      <c r="E30" s="11" t="s">
        <v>203</v>
      </c>
      <c r="F30" s="11" t="s">
        <v>204</v>
      </c>
      <c r="G30" s="11">
        <v>2</v>
      </c>
      <c r="H30" s="11">
        <v>25</v>
      </c>
      <c r="I30" s="13">
        <f>ROUND(1800*9.80665*H30*(1-EXP(-G30/(1800*9.80665))),0)</f>
        <v>50</v>
      </c>
      <c r="J30" s="12" t="s">
        <v>205</v>
      </c>
      <c r="K30" s="12" t="s">
        <v>206</v>
      </c>
      <c r="L30" s="12" t="s">
        <v>142</v>
      </c>
      <c r="M30" s="12" t="s">
        <v>207</v>
      </c>
    </row>
    <row r="31" spans="1:13" ht="117.75" customHeight="1" x14ac:dyDescent="0.2">
      <c r="A31" s="11">
        <v>22</v>
      </c>
      <c r="B31" s="12" t="s">
        <v>208</v>
      </c>
      <c r="C31" s="11" t="s">
        <v>69</v>
      </c>
      <c r="D31" s="11" t="s">
        <v>209</v>
      </c>
      <c r="E31" s="11" t="s">
        <v>210</v>
      </c>
      <c r="F31" s="11" t="s">
        <v>211</v>
      </c>
      <c r="G31" s="11">
        <v>1000</v>
      </c>
      <c r="H31" s="11">
        <v>2000</v>
      </c>
      <c r="I31" s="13">
        <f>ROUND(1800*9.80665*H31*(1-EXP(-G31/(1800*9.80665))),0)</f>
        <v>1944404</v>
      </c>
      <c r="J31" s="12" t="s">
        <v>212</v>
      </c>
      <c r="K31" s="12" t="s">
        <v>213</v>
      </c>
      <c r="L31" s="12" t="s">
        <v>99</v>
      </c>
      <c r="M31" s="12" t="s">
        <v>214</v>
      </c>
    </row>
    <row r="32" spans="1:13" ht="117.75" customHeight="1" x14ac:dyDescent="0.2">
      <c r="A32" s="11">
        <v>23</v>
      </c>
      <c r="B32" s="12" t="s">
        <v>215</v>
      </c>
      <c r="C32" s="11" t="s">
        <v>69</v>
      </c>
      <c r="D32" s="11" t="s">
        <v>209</v>
      </c>
      <c r="E32" s="11" t="s">
        <v>216</v>
      </c>
      <c r="F32" s="11" t="s">
        <v>217</v>
      </c>
      <c r="G32" s="11">
        <v>1000</v>
      </c>
      <c r="H32" s="11">
        <v>600</v>
      </c>
      <c r="I32" s="13">
        <f>ROUND(1800*9.80665*H32*(1-EXP(-G32/(1800*9.80665))),0)</f>
        <v>583321</v>
      </c>
      <c r="J32" s="12" t="s">
        <v>218</v>
      </c>
      <c r="K32" s="12" t="s">
        <v>219</v>
      </c>
      <c r="L32" s="12" t="s">
        <v>99</v>
      </c>
      <c r="M32" s="12" t="s">
        <v>220</v>
      </c>
    </row>
    <row r="33" spans="1:13" s="1" customFormat="1" ht="33" customHeight="1" x14ac:dyDescent="0.2">
      <c r="A33" s="30" t="s">
        <v>221</v>
      </c>
      <c r="B33" s="30"/>
      <c r="C33" s="30"/>
      <c r="D33" s="30"/>
      <c r="E33" s="30"/>
      <c r="F33" s="30"/>
      <c r="G33" s="30"/>
      <c r="H33" s="30"/>
      <c r="I33" s="30"/>
      <c r="J33" s="30"/>
      <c r="K33" s="30"/>
      <c r="L33" s="30"/>
      <c r="M33" s="30"/>
    </row>
    <row r="34" spans="1:13" ht="117.75" customHeight="1" x14ac:dyDescent="0.2">
      <c r="A34" s="11">
        <v>24</v>
      </c>
      <c r="B34" s="12" t="s">
        <v>222</v>
      </c>
      <c r="C34" s="11" t="s">
        <v>223</v>
      </c>
      <c r="D34" s="11" t="s">
        <v>62</v>
      </c>
      <c r="E34" s="11" t="s">
        <v>224</v>
      </c>
      <c r="F34" s="11" t="s">
        <v>63</v>
      </c>
      <c r="G34" s="11">
        <v>40</v>
      </c>
      <c r="H34" s="11">
        <v>200</v>
      </c>
      <c r="I34" s="13">
        <f>ROUND(1800*9.80665*H34*(1-EXP(-G34/(1800*9.80665))),0)</f>
        <v>7991</v>
      </c>
      <c r="J34" s="12" t="s">
        <v>225</v>
      </c>
      <c r="K34" s="12" t="s">
        <v>226</v>
      </c>
      <c r="L34" s="12" t="s">
        <v>142</v>
      </c>
      <c r="M34" s="12" t="s">
        <v>227</v>
      </c>
    </row>
    <row r="35" spans="1:13" ht="117.75" customHeight="1" x14ac:dyDescent="0.2">
      <c r="A35" s="11">
        <v>25</v>
      </c>
      <c r="B35" s="12" t="s">
        <v>228</v>
      </c>
      <c r="C35" s="11" t="s">
        <v>229</v>
      </c>
      <c r="D35" s="11" t="s">
        <v>230</v>
      </c>
      <c r="E35" s="11" t="s">
        <v>231</v>
      </c>
      <c r="F35" s="11" t="s">
        <v>75</v>
      </c>
      <c r="G35" s="11">
        <v>1</v>
      </c>
      <c r="H35" s="11">
        <v>100</v>
      </c>
      <c r="I35" s="13">
        <f>ROUND(1800*9.80665*H35*(1-EXP(-G35/(1800*9.80665))),0)</f>
        <v>100</v>
      </c>
      <c r="J35" s="12" t="s">
        <v>232</v>
      </c>
      <c r="K35" s="12" t="s">
        <v>233</v>
      </c>
      <c r="L35" s="12" t="s">
        <v>142</v>
      </c>
      <c r="M35" s="12" t="s">
        <v>234</v>
      </c>
    </row>
    <row r="36" spans="1:13" ht="184.5" customHeight="1" x14ac:dyDescent="0.2">
      <c r="A36" s="11">
        <v>26</v>
      </c>
      <c r="B36" s="12" t="s">
        <v>235</v>
      </c>
      <c r="C36" s="11" t="s">
        <v>75</v>
      </c>
      <c r="D36" s="11" t="s">
        <v>236</v>
      </c>
      <c r="E36" s="11" t="s">
        <v>237</v>
      </c>
      <c r="F36" s="11" t="s">
        <v>63</v>
      </c>
      <c r="G36" s="11">
        <v>100</v>
      </c>
      <c r="H36" s="11">
        <v>150</v>
      </c>
      <c r="I36" s="13">
        <f>ROUND(1800*9.80665*H36*(1-EXP(-G36/(1800*9.80665))),0)</f>
        <v>14958</v>
      </c>
      <c r="J36" s="12" t="s">
        <v>238</v>
      </c>
      <c r="K36" s="12" t="s">
        <v>239</v>
      </c>
      <c r="L36" s="12" t="s">
        <v>142</v>
      </c>
      <c r="M36" s="12" t="s">
        <v>240</v>
      </c>
    </row>
    <row r="37" spans="1:13" ht="117.75" customHeight="1" x14ac:dyDescent="0.2">
      <c r="A37" s="11">
        <v>33</v>
      </c>
      <c r="B37" s="12" t="s">
        <v>241</v>
      </c>
      <c r="C37" s="11" t="s">
        <v>137</v>
      </c>
      <c r="D37" s="11" t="s">
        <v>161</v>
      </c>
      <c r="E37" s="11" t="s">
        <v>63</v>
      </c>
      <c r="F37" s="11" t="s">
        <v>63</v>
      </c>
      <c r="G37" s="11">
        <v>50</v>
      </c>
      <c r="H37" s="11">
        <v>200</v>
      </c>
      <c r="I37" s="13">
        <f>ROUND(1800*9.80665*H37*(1-EXP(-G37/(1800*9.80665))),0)</f>
        <v>9986</v>
      </c>
      <c r="J37" s="12" t="s">
        <v>242</v>
      </c>
      <c r="K37" s="12" t="s">
        <v>243</v>
      </c>
      <c r="L37" s="12" t="s">
        <v>142</v>
      </c>
      <c r="M37" s="12" t="s">
        <v>244</v>
      </c>
    </row>
    <row r="38" spans="1:13" ht="117.75" customHeight="1" x14ac:dyDescent="0.2">
      <c r="A38" s="11">
        <v>34</v>
      </c>
      <c r="B38" s="12" t="s">
        <v>245</v>
      </c>
      <c r="C38" s="11" t="s">
        <v>69</v>
      </c>
      <c r="D38" s="11" t="s">
        <v>246</v>
      </c>
      <c r="E38" s="11" t="s">
        <v>247</v>
      </c>
      <c r="F38" s="11" t="s">
        <v>125</v>
      </c>
      <c r="G38" s="11">
        <v>500</v>
      </c>
      <c r="H38" s="11">
        <v>100</v>
      </c>
      <c r="I38" s="13">
        <f>ROUND(1800*9.80665*H38*(1-EXP(-G38/(1800*9.80665))),0)</f>
        <v>49299</v>
      </c>
      <c r="J38" s="12" t="s">
        <v>248</v>
      </c>
      <c r="K38" s="12" t="s">
        <v>249</v>
      </c>
      <c r="L38" s="12" t="s">
        <v>142</v>
      </c>
      <c r="M38" s="12" t="s">
        <v>250</v>
      </c>
    </row>
    <row r="39" spans="1:13" s="16" customFormat="1" ht="36.75" customHeight="1" x14ac:dyDescent="0.2">
      <c r="A39" s="14" t="s">
        <v>251</v>
      </c>
      <c r="B39" s="15"/>
      <c r="C39" s="15"/>
      <c r="D39" s="15"/>
      <c r="E39" s="15"/>
      <c r="F39" s="15"/>
      <c r="G39" s="15"/>
      <c r="H39" s="15"/>
      <c r="I39" s="15"/>
      <c r="J39" s="15"/>
      <c r="K39" s="15"/>
      <c r="L39" s="15"/>
      <c r="M39" s="15"/>
    </row>
    <row r="40" spans="1:13" ht="117.75" customHeight="1" x14ac:dyDescent="0.2">
      <c r="A40" s="11">
        <v>28</v>
      </c>
      <c r="B40" s="12" t="s">
        <v>252</v>
      </c>
      <c r="C40" s="11" t="s">
        <v>69</v>
      </c>
      <c r="D40" s="11" t="s">
        <v>253</v>
      </c>
      <c r="E40" s="11" t="s">
        <v>254</v>
      </c>
      <c r="F40" s="11" t="s">
        <v>247</v>
      </c>
      <c r="G40" s="11">
        <v>6000</v>
      </c>
      <c r="H40" s="11">
        <v>500</v>
      </c>
      <c r="I40" s="13">
        <f>ROUND(1800*9.80665*H40*(1-EXP(-G40/(1800*9.80665))),0)</f>
        <v>2543317</v>
      </c>
      <c r="J40" s="12" t="s">
        <v>255</v>
      </c>
      <c r="K40" s="12" t="s">
        <v>256</v>
      </c>
      <c r="L40" s="12" t="s">
        <v>99</v>
      </c>
      <c r="M40" s="12" t="s">
        <v>257</v>
      </c>
    </row>
    <row r="41" spans="1:13" ht="117.75" customHeight="1" x14ac:dyDescent="0.2">
      <c r="A41" s="11">
        <v>29</v>
      </c>
      <c r="B41" s="12" t="s">
        <v>258</v>
      </c>
      <c r="C41" s="11" t="s">
        <v>69</v>
      </c>
      <c r="D41" s="11" t="s">
        <v>246</v>
      </c>
      <c r="E41" s="11" t="s">
        <v>96</v>
      </c>
      <c r="F41" s="11" t="s">
        <v>247</v>
      </c>
      <c r="G41" s="11">
        <v>3000</v>
      </c>
      <c r="H41" s="11">
        <v>500</v>
      </c>
      <c r="I41" s="13">
        <f>ROUND(1800*9.80665*H41*(1-EXP(-G41/(1800*9.80665))),0)</f>
        <v>1379460</v>
      </c>
      <c r="J41" s="12" t="s">
        <v>259</v>
      </c>
      <c r="K41" s="12" t="s">
        <v>260</v>
      </c>
      <c r="L41" s="12" t="s">
        <v>99</v>
      </c>
      <c r="M41" s="12" t="s">
        <v>261</v>
      </c>
    </row>
    <row r="42" spans="1:13" ht="117.75" customHeight="1" x14ac:dyDescent="0.2">
      <c r="A42" s="11">
        <v>30</v>
      </c>
      <c r="B42" s="12" t="s">
        <v>262</v>
      </c>
      <c r="C42" s="11" t="s">
        <v>69</v>
      </c>
      <c r="D42" s="11" t="s">
        <v>53</v>
      </c>
      <c r="E42" s="11" t="s">
        <v>216</v>
      </c>
      <c r="F42" s="11" t="s">
        <v>263</v>
      </c>
      <c r="G42" s="11">
        <v>1000</v>
      </c>
      <c r="H42" s="11">
        <v>500</v>
      </c>
      <c r="I42" s="13">
        <f>ROUND(1800*9.80665*H42*(1-EXP(-G42/(1800*9.80665))),0)</f>
        <v>486101</v>
      </c>
      <c r="J42" s="12" t="s">
        <v>264</v>
      </c>
      <c r="K42" s="12" t="s">
        <v>265</v>
      </c>
      <c r="L42" s="12" t="s">
        <v>266</v>
      </c>
      <c r="M42" s="12" t="s">
        <v>267</v>
      </c>
    </row>
    <row r="43" spans="1:13" ht="117.75" customHeight="1" x14ac:dyDescent="0.2">
      <c r="A43" s="11">
        <v>31</v>
      </c>
      <c r="B43" s="12" t="s">
        <v>268</v>
      </c>
      <c r="C43" s="11" t="s">
        <v>69</v>
      </c>
      <c r="D43" s="11" t="s">
        <v>269</v>
      </c>
      <c r="E43" s="11" t="s">
        <v>75</v>
      </c>
      <c r="F43" s="11" t="s">
        <v>63</v>
      </c>
      <c r="G43" s="11">
        <v>100</v>
      </c>
      <c r="H43" s="11">
        <v>200</v>
      </c>
      <c r="I43" s="13">
        <f>ROUND(1800*9.80665*H43*(1-EXP(-G43/(1800*9.80665))),0)</f>
        <v>19943</v>
      </c>
      <c r="J43" s="12" t="s">
        <v>270</v>
      </c>
      <c r="K43" s="12" t="s">
        <v>271</v>
      </c>
      <c r="L43" s="12" t="s">
        <v>80</v>
      </c>
      <c r="M43" s="12" t="s">
        <v>272</v>
      </c>
    </row>
    <row r="44" spans="1:13" ht="117.75" customHeight="1" x14ac:dyDescent="0.2">
      <c r="A44" s="11">
        <v>32</v>
      </c>
      <c r="B44" s="12" t="s">
        <v>273</v>
      </c>
      <c r="C44" s="11" t="s">
        <v>61</v>
      </c>
      <c r="D44" s="11" t="s">
        <v>62</v>
      </c>
      <c r="E44" s="11" t="s">
        <v>274</v>
      </c>
      <c r="F44" s="11" t="s">
        <v>63</v>
      </c>
      <c r="G44" s="11">
        <v>100</v>
      </c>
      <c r="H44" s="11">
        <v>200</v>
      </c>
      <c r="I44" s="13">
        <f>ROUND(1800*9.80665*H44*(1-EXP(-G44/(1800*9.80665))),0)</f>
        <v>19943</v>
      </c>
      <c r="J44" s="12" t="s">
        <v>275</v>
      </c>
      <c r="K44" s="12" t="s">
        <v>276</v>
      </c>
      <c r="L44" s="12" t="s">
        <v>120</v>
      </c>
      <c r="M44" s="12" t="s">
        <v>277</v>
      </c>
    </row>
    <row r="46" spans="1:13" ht="15.75" customHeight="1" x14ac:dyDescent="0.2">
      <c r="A46" s="17" t="s">
        <v>278</v>
      </c>
      <c r="B46" s="18"/>
      <c r="C46" s="18"/>
      <c r="D46" s="18"/>
      <c r="E46" s="18"/>
      <c r="F46" s="18"/>
      <c r="G46" s="18"/>
      <c r="H46" s="18"/>
      <c r="I46" s="18"/>
      <c r="J46" s="18"/>
      <c r="K46" s="18"/>
      <c r="L46" s="18"/>
      <c r="M46" s="18"/>
    </row>
    <row r="47" spans="1:13" ht="15.75" customHeight="1" x14ac:dyDescent="0.2">
      <c r="A47" s="29" t="s">
        <v>279</v>
      </c>
      <c r="B47" s="29"/>
      <c r="C47" s="29"/>
      <c r="D47" s="29"/>
      <c r="E47" s="29"/>
      <c r="F47" s="29"/>
      <c r="G47" s="29"/>
      <c r="H47" s="29"/>
      <c r="I47" s="29"/>
      <c r="J47" s="29"/>
      <c r="K47" s="29"/>
      <c r="L47" s="29"/>
      <c r="M47" s="29"/>
    </row>
    <row r="48" spans="1:13" ht="15.75" customHeight="1" x14ac:dyDescent="0.2">
      <c r="A48" s="29" t="s">
        <v>694</v>
      </c>
      <c r="B48" s="29"/>
      <c r="C48" s="29"/>
      <c r="D48" s="29"/>
      <c r="E48" s="29"/>
      <c r="F48" s="29"/>
      <c r="G48" s="29"/>
      <c r="H48" s="29"/>
      <c r="I48" s="29"/>
      <c r="J48" s="29"/>
      <c r="K48" s="29"/>
      <c r="L48" s="29"/>
      <c r="M48" s="29"/>
    </row>
    <row r="49" spans="1:13" ht="15.75" customHeight="1" x14ac:dyDescent="0.2">
      <c r="A49" s="29" t="s">
        <v>280</v>
      </c>
      <c r="B49" s="29"/>
      <c r="C49" s="29"/>
      <c r="D49" s="29"/>
      <c r="E49" s="29"/>
      <c r="F49" s="29"/>
      <c r="G49" s="29"/>
      <c r="H49" s="29"/>
      <c r="I49" s="29"/>
      <c r="J49" s="29"/>
      <c r="K49" s="29"/>
      <c r="L49" s="29"/>
      <c r="M49" s="29"/>
    </row>
    <row r="50" spans="1:13" ht="15.75" customHeight="1" x14ac:dyDescent="0.2">
      <c r="A50" s="29" t="s">
        <v>281</v>
      </c>
      <c r="B50" s="29"/>
      <c r="C50" s="29"/>
      <c r="D50" s="29"/>
      <c r="E50" s="29"/>
      <c r="F50" s="29"/>
      <c r="G50" s="29"/>
      <c r="H50" s="29"/>
      <c r="I50" s="29"/>
      <c r="J50" s="29"/>
      <c r="K50" s="29"/>
      <c r="L50" s="29"/>
      <c r="M50" s="29"/>
    </row>
  </sheetData>
  <mergeCells count="8">
    <mergeCell ref="A48:M48"/>
    <mergeCell ref="A49:M49"/>
    <mergeCell ref="A50:M50"/>
    <mergeCell ref="A5:M5"/>
    <mergeCell ref="A19:M19"/>
    <mergeCell ref="A27:M27"/>
    <mergeCell ref="A33:M33"/>
    <mergeCell ref="A47:M4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7"/>
  <sheetViews>
    <sheetView zoomScaleNormal="100" workbookViewId="0">
      <pane ySplit="3" topLeftCell="A4" activePane="bottomLeft" state="frozen"/>
      <selection pane="bottomLeft" activeCell="D10" sqref="D10"/>
    </sheetView>
  </sheetViews>
  <sheetFormatPr baseColWidth="10" defaultColWidth="8.6640625" defaultRowHeight="15" x14ac:dyDescent="0.2"/>
  <cols>
    <col min="1" max="1" width="6" customWidth="1"/>
    <col min="2" max="2" width="30" customWidth="1"/>
    <col min="3" max="3" width="8.6640625" customWidth="1"/>
    <col min="4" max="4" width="62" customWidth="1"/>
    <col min="5" max="5" width="51.1640625" customWidth="1"/>
    <col min="6" max="6" width="37.33203125" customWidth="1"/>
    <col min="7" max="7" width="19" customWidth="1"/>
    <col min="8" max="8" width="18" customWidth="1"/>
  </cols>
  <sheetData>
    <row r="1" spans="1:8" ht="21" customHeight="1" x14ac:dyDescent="0.25">
      <c r="A1" s="27" t="s">
        <v>695</v>
      </c>
      <c r="B1" s="19"/>
      <c r="C1" s="19"/>
      <c r="D1" s="19"/>
      <c r="E1" s="19"/>
    </row>
    <row r="2" spans="1:8" ht="15" customHeight="1" x14ac:dyDescent="0.2"/>
    <row r="3" spans="1:8" ht="30" customHeight="1" x14ac:dyDescent="0.2">
      <c r="A3" s="28" t="s">
        <v>282</v>
      </c>
      <c r="B3" s="28" t="s">
        <v>283</v>
      </c>
      <c r="C3" s="28" t="s">
        <v>284</v>
      </c>
      <c r="D3" s="28" t="s">
        <v>285</v>
      </c>
      <c r="E3" s="28" t="s">
        <v>286</v>
      </c>
      <c r="F3" s="28" t="s">
        <v>287</v>
      </c>
      <c r="G3" s="28" t="s">
        <v>288</v>
      </c>
      <c r="H3" s="28" t="s">
        <v>289</v>
      </c>
    </row>
    <row r="4" spans="1:8" ht="28" customHeight="1" x14ac:dyDescent="0.2">
      <c r="A4" s="31" t="s">
        <v>290</v>
      </c>
      <c r="B4" s="32"/>
      <c r="C4" s="32"/>
      <c r="D4" s="32"/>
      <c r="E4" s="32"/>
      <c r="F4" s="32"/>
      <c r="G4" s="32"/>
      <c r="H4" s="33"/>
    </row>
    <row r="5" spans="1:8" ht="39.75" customHeight="1" x14ac:dyDescent="0.2">
      <c r="A5" s="25" t="s">
        <v>291</v>
      </c>
      <c r="B5" s="26" t="s">
        <v>292</v>
      </c>
      <c r="C5" s="25" t="s">
        <v>293</v>
      </c>
      <c r="D5" s="26" t="s">
        <v>294</v>
      </c>
      <c r="E5" s="26" t="s">
        <v>295</v>
      </c>
      <c r="F5" s="26" t="s">
        <v>296</v>
      </c>
      <c r="G5" s="25" t="s">
        <v>297</v>
      </c>
      <c r="H5" s="26" t="s">
        <v>298</v>
      </c>
    </row>
    <row r="6" spans="1:8" ht="39.75" customHeight="1" x14ac:dyDescent="0.2">
      <c r="A6" s="25" t="s">
        <v>299</v>
      </c>
      <c r="B6" s="26" t="s">
        <v>300</v>
      </c>
      <c r="C6" s="25" t="s">
        <v>301</v>
      </c>
      <c r="D6" s="26" t="s">
        <v>302</v>
      </c>
      <c r="E6" s="26" t="s">
        <v>303</v>
      </c>
      <c r="F6" s="26" t="s">
        <v>304</v>
      </c>
      <c r="G6" s="25" t="s">
        <v>305</v>
      </c>
      <c r="H6" s="26" t="s">
        <v>306</v>
      </c>
    </row>
    <row r="7" spans="1:8" ht="39.75" customHeight="1" x14ac:dyDescent="0.2">
      <c r="A7" s="25" t="s">
        <v>307</v>
      </c>
      <c r="B7" s="26" t="s">
        <v>308</v>
      </c>
      <c r="C7" s="25" t="s">
        <v>309</v>
      </c>
      <c r="D7" s="26" t="s">
        <v>310</v>
      </c>
      <c r="E7" s="26" t="s">
        <v>311</v>
      </c>
      <c r="F7" s="26" t="s">
        <v>312</v>
      </c>
      <c r="G7" s="25" t="s">
        <v>313</v>
      </c>
      <c r="H7" s="26" t="s">
        <v>314</v>
      </c>
    </row>
    <row r="8" spans="1:8" ht="39.75" customHeight="1" x14ac:dyDescent="0.2">
      <c r="A8" s="25" t="s">
        <v>315</v>
      </c>
      <c r="B8" s="26" t="s">
        <v>316</v>
      </c>
      <c r="C8" s="25" t="s">
        <v>317</v>
      </c>
      <c r="D8" s="26" t="s">
        <v>318</v>
      </c>
      <c r="E8" s="26" t="s">
        <v>319</v>
      </c>
      <c r="F8" s="26" t="s">
        <v>320</v>
      </c>
      <c r="G8" s="25" t="s">
        <v>297</v>
      </c>
      <c r="H8" s="26" t="s">
        <v>314</v>
      </c>
    </row>
    <row r="9" spans="1:8" ht="39.75" customHeight="1" x14ac:dyDescent="0.2">
      <c r="A9" s="25" t="s">
        <v>321</v>
      </c>
      <c r="B9" s="26" t="s">
        <v>322</v>
      </c>
      <c r="C9" s="25" t="s">
        <v>323</v>
      </c>
      <c r="D9" s="26" t="s">
        <v>324</v>
      </c>
      <c r="E9" s="26" t="s">
        <v>325</v>
      </c>
      <c r="F9" s="26" t="s">
        <v>326</v>
      </c>
      <c r="G9" s="25" t="s">
        <v>297</v>
      </c>
      <c r="H9" s="26" t="s">
        <v>327</v>
      </c>
    </row>
    <row r="10" spans="1:8" ht="39.75" customHeight="1" x14ac:dyDescent="0.2">
      <c r="A10" s="25" t="s">
        <v>328</v>
      </c>
      <c r="B10" s="26" t="s">
        <v>329</v>
      </c>
      <c r="C10" s="25" t="s">
        <v>330</v>
      </c>
      <c r="D10" s="26" t="s">
        <v>331</v>
      </c>
      <c r="E10" s="26" t="s">
        <v>332</v>
      </c>
      <c r="F10" s="26" t="s">
        <v>333</v>
      </c>
      <c r="G10" s="25" t="s">
        <v>297</v>
      </c>
      <c r="H10" s="26" t="s">
        <v>314</v>
      </c>
    </row>
    <row r="11" spans="1:8" ht="39.75" customHeight="1" x14ac:dyDescent="0.2">
      <c r="A11" s="25" t="s">
        <v>334</v>
      </c>
      <c r="B11" s="26" t="s">
        <v>335</v>
      </c>
      <c r="C11" s="25" t="s">
        <v>336</v>
      </c>
      <c r="D11" s="26" t="s">
        <v>337</v>
      </c>
      <c r="E11" s="26" t="s">
        <v>338</v>
      </c>
      <c r="F11" s="26" t="s">
        <v>339</v>
      </c>
      <c r="G11" s="25" t="s">
        <v>297</v>
      </c>
      <c r="H11" s="26" t="s">
        <v>340</v>
      </c>
    </row>
    <row r="12" spans="1:8" ht="39.75" customHeight="1" x14ac:dyDescent="0.2">
      <c r="A12" s="25" t="s">
        <v>341</v>
      </c>
      <c r="B12" s="26" t="s">
        <v>342</v>
      </c>
      <c r="C12" s="25" t="s">
        <v>301</v>
      </c>
      <c r="D12" s="26" t="s">
        <v>343</v>
      </c>
      <c r="E12" s="26" t="s">
        <v>344</v>
      </c>
      <c r="F12" s="26" t="s">
        <v>345</v>
      </c>
      <c r="G12" s="25" t="s">
        <v>297</v>
      </c>
      <c r="H12" s="26" t="s">
        <v>298</v>
      </c>
    </row>
    <row r="13" spans="1:8" ht="39.75" customHeight="1" x14ac:dyDescent="0.2">
      <c r="A13" s="25" t="s">
        <v>346</v>
      </c>
      <c r="B13" s="26" t="s">
        <v>347</v>
      </c>
      <c r="C13" s="25" t="s">
        <v>348</v>
      </c>
      <c r="D13" s="26" t="s">
        <v>349</v>
      </c>
      <c r="E13" s="26" t="s">
        <v>350</v>
      </c>
      <c r="F13" s="26" t="s">
        <v>351</v>
      </c>
      <c r="G13" s="25" t="s">
        <v>297</v>
      </c>
      <c r="H13" s="26" t="s">
        <v>352</v>
      </c>
    </row>
    <row r="14" spans="1:8" ht="39.75" customHeight="1" x14ac:dyDescent="0.2">
      <c r="A14" s="25" t="s">
        <v>353</v>
      </c>
      <c r="B14" s="26" t="s">
        <v>354</v>
      </c>
      <c r="C14" s="25" t="s">
        <v>355</v>
      </c>
      <c r="D14" s="26" t="s">
        <v>356</v>
      </c>
      <c r="E14" s="26" t="s">
        <v>357</v>
      </c>
      <c r="F14" s="26" t="s">
        <v>358</v>
      </c>
      <c r="G14" s="25" t="s">
        <v>297</v>
      </c>
      <c r="H14" s="26" t="s">
        <v>359</v>
      </c>
    </row>
    <row r="15" spans="1:8" ht="39.75" customHeight="1" x14ac:dyDescent="0.2">
      <c r="A15" s="25" t="s">
        <v>360</v>
      </c>
      <c r="B15" s="26" t="s">
        <v>361</v>
      </c>
      <c r="C15" s="25" t="s">
        <v>362</v>
      </c>
      <c r="D15" s="26" t="s">
        <v>363</v>
      </c>
      <c r="E15" s="26" t="s">
        <v>364</v>
      </c>
      <c r="F15" s="26" t="s">
        <v>365</v>
      </c>
      <c r="G15" s="25" t="s">
        <v>366</v>
      </c>
      <c r="H15" s="26" t="s">
        <v>367</v>
      </c>
    </row>
    <row r="16" spans="1:8" ht="39.75" customHeight="1" x14ac:dyDescent="0.2">
      <c r="A16" s="25" t="s">
        <v>368</v>
      </c>
      <c r="B16" s="26" t="s">
        <v>369</v>
      </c>
      <c r="C16" s="25" t="s">
        <v>370</v>
      </c>
      <c r="D16" s="26" t="s">
        <v>371</v>
      </c>
      <c r="E16" s="26" t="s">
        <v>372</v>
      </c>
      <c r="F16" s="26" t="s">
        <v>373</v>
      </c>
      <c r="G16" s="25" t="s">
        <v>297</v>
      </c>
      <c r="H16" s="26" t="s">
        <v>374</v>
      </c>
    </row>
    <row r="17" spans="1:8" ht="39.75" customHeight="1" x14ac:dyDescent="0.2">
      <c r="A17" s="25" t="s">
        <v>375</v>
      </c>
      <c r="B17" s="26" t="s">
        <v>376</v>
      </c>
      <c r="C17" s="25" t="s">
        <v>377</v>
      </c>
      <c r="D17" s="26" t="s">
        <v>378</v>
      </c>
      <c r="E17" s="26" t="s">
        <v>379</v>
      </c>
      <c r="F17" s="26" t="s">
        <v>380</v>
      </c>
      <c r="G17" s="25" t="s">
        <v>297</v>
      </c>
      <c r="H17" s="26" t="s">
        <v>352</v>
      </c>
    </row>
    <row r="18" spans="1:8" ht="39.75" customHeight="1" x14ac:dyDescent="0.2">
      <c r="A18" s="25" t="s">
        <v>249</v>
      </c>
      <c r="B18" s="26" t="s">
        <v>381</v>
      </c>
      <c r="C18" s="25" t="s">
        <v>382</v>
      </c>
      <c r="D18" s="26" t="s">
        <v>383</v>
      </c>
      <c r="E18" s="26" t="s">
        <v>384</v>
      </c>
      <c r="F18" s="26" t="s">
        <v>385</v>
      </c>
      <c r="G18" s="25" t="s">
        <v>297</v>
      </c>
      <c r="H18" s="26" t="s">
        <v>386</v>
      </c>
    </row>
    <row r="19" spans="1:8" ht="39.75" customHeight="1" x14ac:dyDescent="0.2">
      <c r="A19" s="25" t="s">
        <v>387</v>
      </c>
      <c r="B19" s="26" t="s">
        <v>388</v>
      </c>
      <c r="C19" s="25" t="s">
        <v>348</v>
      </c>
      <c r="D19" s="26" t="s">
        <v>389</v>
      </c>
      <c r="E19" s="26" t="s">
        <v>390</v>
      </c>
      <c r="F19" s="26" t="s">
        <v>391</v>
      </c>
      <c r="G19" s="25" t="s">
        <v>297</v>
      </c>
      <c r="H19" s="26" t="s">
        <v>392</v>
      </c>
    </row>
    <row r="20" spans="1:8" ht="39.75" customHeight="1" x14ac:dyDescent="0.2">
      <c r="A20" s="25" t="s">
        <v>393</v>
      </c>
      <c r="B20" s="26" t="s">
        <v>394</v>
      </c>
      <c r="C20" s="25" t="s">
        <v>330</v>
      </c>
      <c r="D20" s="26" t="s">
        <v>395</v>
      </c>
      <c r="E20" s="26" t="s">
        <v>396</v>
      </c>
      <c r="F20" s="26" t="s">
        <v>397</v>
      </c>
      <c r="G20" s="25" t="s">
        <v>297</v>
      </c>
      <c r="H20" s="26" t="s">
        <v>398</v>
      </c>
    </row>
    <row r="21" spans="1:8" ht="39.75" customHeight="1" x14ac:dyDescent="0.2">
      <c r="A21" s="25" t="s">
        <v>399</v>
      </c>
      <c r="B21" s="26" t="s">
        <v>400</v>
      </c>
      <c r="C21" s="25" t="s">
        <v>382</v>
      </c>
      <c r="D21" s="26" t="s">
        <v>401</v>
      </c>
      <c r="E21" s="26" t="s">
        <v>402</v>
      </c>
      <c r="F21" s="26" t="s">
        <v>403</v>
      </c>
      <c r="G21" s="25" t="s">
        <v>297</v>
      </c>
      <c r="H21" s="26" t="s">
        <v>404</v>
      </c>
    </row>
    <row r="22" spans="1:8" ht="39.75" customHeight="1" x14ac:dyDescent="0.2">
      <c r="A22" s="25" t="s">
        <v>405</v>
      </c>
      <c r="B22" s="26" t="s">
        <v>406</v>
      </c>
      <c r="C22" s="25" t="s">
        <v>323</v>
      </c>
      <c r="D22" s="26" t="s">
        <v>407</v>
      </c>
      <c r="E22" s="26" t="s">
        <v>408</v>
      </c>
      <c r="F22" s="26" t="s">
        <v>409</v>
      </c>
      <c r="G22" s="25" t="s">
        <v>297</v>
      </c>
      <c r="H22" s="26" t="s">
        <v>352</v>
      </c>
    </row>
    <row r="23" spans="1:8" ht="39.75" customHeight="1" x14ac:dyDescent="0.2">
      <c r="A23" s="25" t="s">
        <v>410</v>
      </c>
      <c r="B23" s="26" t="s">
        <v>411</v>
      </c>
      <c r="C23" s="25" t="s">
        <v>412</v>
      </c>
      <c r="D23" s="26" t="s">
        <v>413</v>
      </c>
      <c r="E23" s="26" t="s">
        <v>414</v>
      </c>
      <c r="F23" s="26" t="s">
        <v>415</v>
      </c>
      <c r="G23" s="25" t="s">
        <v>313</v>
      </c>
      <c r="H23" s="26" t="s">
        <v>416</v>
      </c>
    </row>
    <row r="24" spans="1:8" ht="39.75" customHeight="1" x14ac:dyDescent="0.2">
      <c r="A24" s="25" t="s">
        <v>417</v>
      </c>
      <c r="B24" s="26" t="s">
        <v>418</v>
      </c>
      <c r="C24" s="25" t="s">
        <v>323</v>
      </c>
      <c r="D24" s="26" t="s">
        <v>419</v>
      </c>
      <c r="E24" s="26" t="s">
        <v>420</v>
      </c>
      <c r="F24" s="26" t="s">
        <v>421</v>
      </c>
      <c r="G24" s="25" t="s">
        <v>297</v>
      </c>
      <c r="H24" s="26" t="s">
        <v>422</v>
      </c>
    </row>
    <row r="25" spans="1:8" ht="39.75" customHeight="1" x14ac:dyDescent="0.2">
      <c r="A25" s="25" t="s">
        <v>423</v>
      </c>
      <c r="B25" s="26" t="s">
        <v>424</v>
      </c>
      <c r="C25" s="25" t="s">
        <v>355</v>
      </c>
      <c r="D25" s="26" t="s">
        <v>425</v>
      </c>
      <c r="E25" s="26" t="s">
        <v>426</v>
      </c>
      <c r="F25" s="26" t="s">
        <v>427</v>
      </c>
      <c r="G25" s="25" t="s">
        <v>428</v>
      </c>
      <c r="H25" s="26" t="s">
        <v>429</v>
      </c>
    </row>
    <row r="26" spans="1:8" ht="39.75" customHeight="1" x14ac:dyDescent="0.2">
      <c r="A26" s="25" t="s">
        <v>430</v>
      </c>
      <c r="B26" s="26" t="s">
        <v>431</v>
      </c>
      <c r="C26" s="25" t="s">
        <v>362</v>
      </c>
      <c r="D26" s="26" t="s">
        <v>432</v>
      </c>
      <c r="E26" s="26" t="s">
        <v>433</v>
      </c>
      <c r="F26" s="26" t="s">
        <v>434</v>
      </c>
      <c r="G26" s="25" t="s">
        <v>297</v>
      </c>
      <c r="H26" s="26" t="s">
        <v>435</v>
      </c>
    </row>
    <row r="27" spans="1:8" ht="39.75" customHeight="1" x14ac:dyDescent="0.2">
      <c r="A27" s="25" t="s">
        <v>436</v>
      </c>
      <c r="B27" s="26" t="s">
        <v>437</v>
      </c>
      <c r="C27" s="25" t="s">
        <v>438</v>
      </c>
      <c r="D27" s="26" t="s">
        <v>439</v>
      </c>
      <c r="E27" s="26" t="s">
        <v>440</v>
      </c>
      <c r="F27" s="26" t="s">
        <v>441</v>
      </c>
      <c r="G27" s="25" t="s">
        <v>297</v>
      </c>
      <c r="H27" s="26" t="s">
        <v>442</v>
      </c>
    </row>
    <row r="28" spans="1:8" ht="39.75" customHeight="1" x14ac:dyDescent="0.2">
      <c r="A28" s="25" t="s">
        <v>443</v>
      </c>
      <c r="B28" s="26" t="s">
        <v>444</v>
      </c>
      <c r="C28" s="25" t="s">
        <v>317</v>
      </c>
      <c r="D28" s="26" t="s">
        <v>445</v>
      </c>
      <c r="E28" s="26" t="s">
        <v>446</v>
      </c>
      <c r="F28" s="26" t="s">
        <v>447</v>
      </c>
      <c r="G28" s="25" t="s">
        <v>448</v>
      </c>
      <c r="H28" s="26" t="s">
        <v>404</v>
      </c>
    </row>
    <row r="29" spans="1:8" ht="39.75" customHeight="1" x14ac:dyDescent="0.2">
      <c r="A29" s="25" t="s">
        <v>449</v>
      </c>
      <c r="B29" s="26" t="s">
        <v>450</v>
      </c>
      <c r="C29" s="25" t="s">
        <v>451</v>
      </c>
      <c r="D29" s="26" t="s">
        <v>452</v>
      </c>
      <c r="E29" s="26" t="s">
        <v>453</v>
      </c>
      <c r="F29" s="26" t="s">
        <v>454</v>
      </c>
      <c r="G29" s="25" t="s">
        <v>297</v>
      </c>
      <c r="H29" s="26" t="s">
        <v>455</v>
      </c>
    </row>
    <row r="30" spans="1:8" ht="39.75" customHeight="1" x14ac:dyDescent="0.2">
      <c r="A30" s="25" t="s">
        <v>456</v>
      </c>
      <c r="B30" s="26" t="s">
        <v>457</v>
      </c>
      <c r="C30" s="25" t="s">
        <v>293</v>
      </c>
      <c r="D30" s="26" t="s">
        <v>458</v>
      </c>
      <c r="E30" s="26" t="s">
        <v>459</v>
      </c>
      <c r="F30" s="26" t="s">
        <v>460</v>
      </c>
      <c r="G30" s="25" t="s">
        <v>297</v>
      </c>
      <c r="H30" s="26" t="s">
        <v>455</v>
      </c>
    </row>
    <row r="31" spans="1:8" ht="39.75" customHeight="1" x14ac:dyDescent="0.2">
      <c r="A31" s="25" t="s">
        <v>461</v>
      </c>
      <c r="B31" s="26" t="s">
        <v>462</v>
      </c>
      <c r="C31" s="25" t="s">
        <v>463</v>
      </c>
      <c r="D31" s="26" t="s">
        <v>464</v>
      </c>
      <c r="E31" s="26" t="s">
        <v>465</v>
      </c>
      <c r="F31" s="26" t="s">
        <v>466</v>
      </c>
      <c r="G31" s="25" t="s">
        <v>305</v>
      </c>
      <c r="H31" s="26" t="s">
        <v>467</v>
      </c>
    </row>
    <row r="32" spans="1:8" ht="39.75" customHeight="1" x14ac:dyDescent="0.2">
      <c r="A32" s="34" t="s">
        <v>468</v>
      </c>
      <c r="B32" s="35"/>
      <c r="C32" s="35"/>
      <c r="D32" s="35"/>
      <c r="E32" s="35"/>
      <c r="F32" s="35"/>
      <c r="G32" s="35"/>
      <c r="H32" s="36"/>
    </row>
    <row r="33" spans="1:8" ht="39.75" customHeight="1" x14ac:dyDescent="0.2">
      <c r="A33" s="25" t="s">
        <v>469</v>
      </c>
      <c r="B33" s="26" t="s">
        <v>470</v>
      </c>
      <c r="C33" s="25" t="s">
        <v>471</v>
      </c>
      <c r="D33" s="26" t="s">
        <v>472</v>
      </c>
      <c r="E33" s="26" t="s">
        <v>473</v>
      </c>
      <c r="F33" s="26" t="s">
        <v>474</v>
      </c>
      <c r="G33" s="25" t="s">
        <v>428</v>
      </c>
      <c r="H33" s="26" t="s">
        <v>475</v>
      </c>
    </row>
    <row r="34" spans="1:8" ht="39.75" customHeight="1" x14ac:dyDescent="0.2">
      <c r="A34" s="25" t="s">
        <v>476</v>
      </c>
      <c r="B34" s="26" t="s">
        <v>477</v>
      </c>
      <c r="C34" s="25" t="s">
        <v>348</v>
      </c>
      <c r="D34" s="26" t="s">
        <v>478</v>
      </c>
      <c r="E34" s="26" t="s">
        <v>479</v>
      </c>
      <c r="F34" s="26" t="s">
        <v>480</v>
      </c>
      <c r="G34" s="25" t="s">
        <v>428</v>
      </c>
      <c r="H34" s="26" t="s">
        <v>481</v>
      </c>
    </row>
    <row r="35" spans="1:8" ht="39.75" customHeight="1" x14ac:dyDescent="0.2">
      <c r="A35" s="25" t="s">
        <v>482</v>
      </c>
      <c r="B35" s="26" t="s">
        <v>483</v>
      </c>
      <c r="C35" s="25" t="s">
        <v>330</v>
      </c>
      <c r="D35" s="26" t="s">
        <v>484</v>
      </c>
      <c r="E35" s="26" t="s">
        <v>485</v>
      </c>
      <c r="F35" s="26" t="s">
        <v>486</v>
      </c>
      <c r="G35" s="25" t="s">
        <v>428</v>
      </c>
      <c r="H35" s="26" t="s">
        <v>487</v>
      </c>
    </row>
    <row r="36" spans="1:8" ht="39.75" customHeight="1" x14ac:dyDescent="0.2">
      <c r="A36" s="34" t="s">
        <v>488</v>
      </c>
      <c r="B36" s="35"/>
      <c r="C36" s="35"/>
      <c r="D36" s="35"/>
      <c r="E36" s="35"/>
      <c r="F36" s="35"/>
      <c r="G36" s="35"/>
      <c r="H36" s="36"/>
    </row>
    <row r="37" spans="1:8" ht="39.75" customHeight="1" x14ac:dyDescent="0.2">
      <c r="A37" s="25" t="s">
        <v>91</v>
      </c>
      <c r="B37" s="26" t="s">
        <v>489</v>
      </c>
      <c r="C37" s="25" t="s">
        <v>301</v>
      </c>
      <c r="D37" s="26" t="s">
        <v>490</v>
      </c>
      <c r="E37" s="26" t="s">
        <v>491</v>
      </c>
      <c r="F37" s="26" t="s">
        <v>492</v>
      </c>
      <c r="G37" s="25" t="s">
        <v>493</v>
      </c>
      <c r="H37" s="26" t="s">
        <v>494</v>
      </c>
    </row>
    <row r="38" spans="1:8" ht="39.75" customHeight="1" x14ac:dyDescent="0.2">
      <c r="A38" s="25" t="s">
        <v>495</v>
      </c>
      <c r="B38" s="26" t="s">
        <v>496</v>
      </c>
      <c r="C38" s="25" t="s">
        <v>497</v>
      </c>
      <c r="D38" s="26" t="s">
        <v>498</v>
      </c>
      <c r="E38" s="26" t="s">
        <v>499</v>
      </c>
      <c r="F38" s="26" t="s">
        <v>500</v>
      </c>
      <c r="G38" s="25" t="s">
        <v>493</v>
      </c>
      <c r="H38" s="26" t="s">
        <v>501</v>
      </c>
    </row>
    <row r="39" spans="1:8" ht="39.75" customHeight="1" x14ac:dyDescent="0.2">
      <c r="A39" s="25" t="s">
        <v>502</v>
      </c>
      <c r="B39" s="26" t="s">
        <v>503</v>
      </c>
      <c r="C39" s="25" t="s">
        <v>382</v>
      </c>
      <c r="D39" s="26" t="s">
        <v>504</v>
      </c>
      <c r="E39" s="26" t="s">
        <v>505</v>
      </c>
      <c r="F39" s="26" t="s">
        <v>506</v>
      </c>
      <c r="G39" s="25" t="s">
        <v>493</v>
      </c>
      <c r="H39" s="26" t="s">
        <v>501</v>
      </c>
    </row>
    <row r="40" spans="1:8" ht="39.75" customHeight="1" x14ac:dyDescent="0.2">
      <c r="A40" s="25" t="s">
        <v>507</v>
      </c>
      <c r="B40" s="26" t="s">
        <v>496</v>
      </c>
      <c r="C40" s="25" t="s">
        <v>508</v>
      </c>
      <c r="D40" s="26" t="s">
        <v>509</v>
      </c>
      <c r="E40" s="26" t="s">
        <v>510</v>
      </c>
      <c r="F40" s="26" t="s">
        <v>500</v>
      </c>
      <c r="G40" s="25" t="s">
        <v>493</v>
      </c>
      <c r="H40" s="26" t="s">
        <v>511</v>
      </c>
    </row>
    <row r="41" spans="1:8" ht="39.75" customHeight="1" x14ac:dyDescent="0.2">
      <c r="A41" s="25" t="s">
        <v>512</v>
      </c>
      <c r="B41" s="26" t="s">
        <v>513</v>
      </c>
      <c r="C41" s="25" t="s">
        <v>355</v>
      </c>
      <c r="D41" s="26" t="s">
        <v>514</v>
      </c>
      <c r="E41" s="26" t="s">
        <v>515</v>
      </c>
      <c r="F41" s="26" t="s">
        <v>516</v>
      </c>
      <c r="G41" s="25" t="s">
        <v>493</v>
      </c>
      <c r="H41" s="26"/>
    </row>
    <row r="42" spans="1:8" ht="39.75" customHeight="1" x14ac:dyDescent="0.2">
      <c r="A42" s="34" t="s">
        <v>517</v>
      </c>
      <c r="B42" s="35"/>
      <c r="C42" s="35"/>
      <c r="D42" s="35"/>
      <c r="E42" s="35"/>
      <c r="F42" s="35"/>
      <c r="G42" s="35"/>
      <c r="H42" s="36"/>
    </row>
    <row r="43" spans="1:8" ht="39.75" customHeight="1" x14ac:dyDescent="0.2">
      <c r="A43" s="25" t="s">
        <v>518</v>
      </c>
      <c r="B43" s="26" t="s">
        <v>519</v>
      </c>
      <c r="C43" s="25" t="s">
        <v>362</v>
      </c>
      <c r="D43" s="26" t="s">
        <v>520</v>
      </c>
      <c r="E43" s="26" t="s">
        <v>521</v>
      </c>
      <c r="F43" s="26" t="s">
        <v>522</v>
      </c>
      <c r="G43" s="25" t="s">
        <v>523</v>
      </c>
      <c r="H43" s="26" t="s">
        <v>524</v>
      </c>
    </row>
    <row r="44" spans="1:8" ht="39.75" customHeight="1" x14ac:dyDescent="0.2">
      <c r="A44" s="25" t="s">
        <v>525</v>
      </c>
      <c r="B44" s="26" t="s">
        <v>496</v>
      </c>
      <c r="C44" s="25" t="s">
        <v>362</v>
      </c>
      <c r="D44" s="26" t="s">
        <v>526</v>
      </c>
      <c r="E44" s="26" t="s">
        <v>527</v>
      </c>
      <c r="F44" s="26" t="s">
        <v>528</v>
      </c>
      <c r="G44" s="25" t="s">
        <v>523</v>
      </c>
      <c r="H44" s="26" t="s">
        <v>529</v>
      </c>
    </row>
    <row r="45" spans="1:8" ht="39.75" customHeight="1" x14ac:dyDescent="0.2">
      <c r="A45" s="25" t="s">
        <v>530</v>
      </c>
      <c r="B45" s="26" t="s">
        <v>531</v>
      </c>
      <c r="C45" s="25" t="s">
        <v>532</v>
      </c>
      <c r="D45" s="26" t="s">
        <v>533</v>
      </c>
      <c r="E45" s="26" t="s">
        <v>534</v>
      </c>
      <c r="F45" s="26" t="s">
        <v>535</v>
      </c>
      <c r="G45" s="25" t="s">
        <v>523</v>
      </c>
      <c r="H45" s="26" t="s">
        <v>529</v>
      </c>
    </row>
    <row r="46" spans="1:8" ht="39.75" customHeight="1" x14ac:dyDescent="0.2">
      <c r="A46" s="25" t="s">
        <v>536</v>
      </c>
      <c r="B46" s="26" t="s">
        <v>531</v>
      </c>
      <c r="C46" s="25" t="s">
        <v>537</v>
      </c>
      <c r="D46" s="26" t="s">
        <v>538</v>
      </c>
      <c r="E46" s="26" t="s">
        <v>534</v>
      </c>
      <c r="F46" s="26" t="s">
        <v>535</v>
      </c>
      <c r="G46" s="25" t="s">
        <v>523</v>
      </c>
      <c r="H46" s="26" t="s">
        <v>539</v>
      </c>
    </row>
    <row r="47" spans="1:8" ht="39.75" customHeight="1" x14ac:dyDescent="0.2">
      <c r="A47" s="25" t="s">
        <v>540</v>
      </c>
      <c r="B47" s="26" t="s">
        <v>541</v>
      </c>
      <c r="C47" s="25" t="s">
        <v>370</v>
      </c>
      <c r="D47" s="26" t="s">
        <v>542</v>
      </c>
      <c r="E47" s="26" t="s">
        <v>543</v>
      </c>
      <c r="F47" s="26" t="s">
        <v>544</v>
      </c>
      <c r="G47" s="25" t="s">
        <v>523</v>
      </c>
      <c r="H47" s="26" t="s">
        <v>545</v>
      </c>
    </row>
    <row r="48" spans="1:8" ht="39.75" customHeight="1" x14ac:dyDescent="0.2">
      <c r="A48" s="25" t="s">
        <v>546</v>
      </c>
      <c r="B48" s="26" t="s">
        <v>496</v>
      </c>
      <c r="C48" s="25" t="s">
        <v>508</v>
      </c>
      <c r="D48" s="26" t="s">
        <v>547</v>
      </c>
      <c r="E48" s="26" t="s">
        <v>548</v>
      </c>
      <c r="F48" s="26" t="s">
        <v>528</v>
      </c>
      <c r="G48" s="25" t="s">
        <v>523</v>
      </c>
      <c r="H48" s="26" t="s">
        <v>545</v>
      </c>
    </row>
    <row r="49" spans="1:8" ht="39.75" customHeight="1" x14ac:dyDescent="0.2">
      <c r="A49" s="25" t="s">
        <v>549</v>
      </c>
      <c r="B49" s="26" t="s">
        <v>550</v>
      </c>
      <c r="C49" s="25" t="s">
        <v>317</v>
      </c>
      <c r="D49" s="26" t="s">
        <v>551</v>
      </c>
      <c r="E49" s="26" t="s">
        <v>552</v>
      </c>
      <c r="F49" s="26" t="s">
        <v>553</v>
      </c>
      <c r="G49" s="25" t="s">
        <v>523</v>
      </c>
      <c r="H49" s="26" t="s">
        <v>545</v>
      </c>
    </row>
    <row r="50" spans="1:8" ht="39.75" customHeight="1" x14ac:dyDescent="0.2">
      <c r="A50" s="25" t="s">
        <v>554</v>
      </c>
      <c r="B50" s="26" t="s">
        <v>496</v>
      </c>
      <c r="C50" s="25" t="s">
        <v>317</v>
      </c>
      <c r="D50" s="26" t="s">
        <v>555</v>
      </c>
      <c r="E50" s="26" t="s">
        <v>521</v>
      </c>
      <c r="F50" s="26" t="s">
        <v>528</v>
      </c>
      <c r="G50" s="25" t="s">
        <v>523</v>
      </c>
      <c r="H50" s="26" t="s">
        <v>545</v>
      </c>
    </row>
    <row r="51" spans="1:8" ht="39.75" customHeight="1" x14ac:dyDescent="0.2">
      <c r="A51" s="25" t="s">
        <v>556</v>
      </c>
      <c r="B51" s="26" t="s">
        <v>541</v>
      </c>
      <c r="C51" s="25" t="s">
        <v>293</v>
      </c>
      <c r="D51" s="26" t="s">
        <v>557</v>
      </c>
      <c r="E51" s="26" t="s">
        <v>558</v>
      </c>
      <c r="F51" s="26" t="s">
        <v>544</v>
      </c>
      <c r="G51" s="25" t="s">
        <v>523</v>
      </c>
      <c r="H51" s="26" t="s">
        <v>340</v>
      </c>
    </row>
    <row r="52" spans="1:8" ht="39.75" customHeight="1" x14ac:dyDescent="0.2">
      <c r="A52" s="25" t="s">
        <v>559</v>
      </c>
      <c r="B52" s="26" t="s">
        <v>560</v>
      </c>
      <c r="C52" s="25" t="s">
        <v>561</v>
      </c>
      <c r="D52" s="26" t="s">
        <v>562</v>
      </c>
      <c r="E52" s="26" t="s">
        <v>563</v>
      </c>
      <c r="F52" s="26" t="s">
        <v>564</v>
      </c>
      <c r="G52" s="25" t="s">
        <v>523</v>
      </c>
      <c r="H52" s="26" t="s">
        <v>340</v>
      </c>
    </row>
    <row r="53" spans="1:8" ht="39.75" customHeight="1" x14ac:dyDescent="0.2">
      <c r="A53" s="25" t="s">
        <v>565</v>
      </c>
      <c r="B53" s="26" t="s">
        <v>566</v>
      </c>
      <c r="C53" s="25" t="s">
        <v>567</v>
      </c>
      <c r="D53" s="26" t="s">
        <v>568</v>
      </c>
      <c r="E53" s="26" t="s">
        <v>569</v>
      </c>
      <c r="F53" s="26" t="s">
        <v>570</v>
      </c>
      <c r="G53" s="25" t="s">
        <v>523</v>
      </c>
      <c r="H53" s="26" t="s">
        <v>571</v>
      </c>
    </row>
    <row r="54" spans="1:8" ht="39.75" customHeight="1" x14ac:dyDescent="0.2">
      <c r="A54" s="25" t="s">
        <v>572</v>
      </c>
      <c r="B54" s="26" t="s">
        <v>573</v>
      </c>
      <c r="C54" s="25" t="s">
        <v>508</v>
      </c>
      <c r="D54" s="26" t="s">
        <v>574</v>
      </c>
      <c r="E54" s="26" t="s">
        <v>575</v>
      </c>
      <c r="F54" s="26" t="s">
        <v>576</v>
      </c>
      <c r="G54" s="25" t="s">
        <v>523</v>
      </c>
      <c r="H54" s="26" t="s">
        <v>577</v>
      </c>
    </row>
    <row r="55" spans="1:8" ht="39.75" customHeight="1" x14ac:dyDescent="0.2">
      <c r="A55" s="25" t="s">
        <v>578</v>
      </c>
      <c r="B55" s="26" t="s">
        <v>496</v>
      </c>
      <c r="C55" s="25" t="s">
        <v>370</v>
      </c>
      <c r="D55" s="26" t="s">
        <v>579</v>
      </c>
      <c r="E55" s="26" t="s">
        <v>580</v>
      </c>
      <c r="F55" s="26" t="s">
        <v>528</v>
      </c>
      <c r="G55" s="25" t="s">
        <v>523</v>
      </c>
      <c r="H55" s="26" t="s">
        <v>577</v>
      </c>
    </row>
    <row r="56" spans="1:8" ht="39.75" customHeight="1" x14ac:dyDescent="0.2">
      <c r="A56" s="25" t="s">
        <v>581</v>
      </c>
      <c r="B56" s="26" t="s">
        <v>582</v>
      </c>
      <c r="C56" s="25" t="s">
        <v>370</v>
      </c>
      <c r="D56" s="26" t="s">
        <v>583</v>
      </c>
      <c r="E56" s="26" t="s">
        <v>584</v>
      </c>
      <c r="F56" s="26" t="s">
        <v>585</v>
      </c>
      <c r="G56" s="25" t="s">
        <v>523</v>
      </c>
      <c r="H56" s="26" t="s">
        <v>571</v>
      </c>
    </row>
    <row r="57" spans="1:8" ht="39.75" customHeight="1" x14ac:dyDescent="0.2">
      <c r="A57" s="25" t="s">
        <v>586</v>
      </c>
      <c r="B57" s="26" t="s">
        <v>541</v>
      </c>
      <c r="C57" s="25" t="s">
        <v>317</v>
      </c>
      <c r="D57" s="26" t="s">
        <v>587</v>
      </c>
      <c r="E57" s="26" t="s">
        <v>543</v>
      </c>
      <c r="F57" s="26" t="s">
        <v>544</v>
      </c>
      <c r="G57" s="25" t="s">
        <v>523</v>
      </c>
      <c r="H57" s="26" t="s">
        <v>588</v>
      </c>
    </row>
    <row r="58" spans="1:8" ht="39.75" customHeight="1" x14ac:dyDescent="0.2">
      <c r="A58" s="25" t="s">
        <v>589</v>
      </c>
      <c r="B58" s="26" t="s">
        <v>590</v>
      </c>
      <c r="C58" s="25" t="s">
        <v>370</v>
      </c>
      <c r="D58" s="26" t="s">
        <v>591</v>
      </c>
      <c r="E58" s="26" t="s">
        <v>592</v>
      </c>
      <c r="F58" s="26" t="s">
        <v>593</v>
      </c>
      <c r="G58" s="25" t="s">
        <v>523</v>
      </c>
      <c r="H58" s="26" t="s">
        <v>511</v>
      </c>
    </row>
    <row r="59" spans="1:8" ht="39.75" customHeight="1" x14ac:dyDescent="0.2">
      <c r="A59" s="25" t="s">
        <v>594</v>
      </c>
      <c r="B59" s="26" t="s">
        <v>595</v>
      </c>
      <c r="C59" s="25" t="s">
        <v>370</v>
      </c>
      <c r="D59" s="26" t="s">
        <v>596</v>
      </c>
      <c r="E59" s="26" t="s">
        <v>592</v>
      </c>
      <c r="F59" s="26" t="s">
        <v>597</v>
      </c>
      <c r="G59" s="25" t="s">
        <v>523</v>
      </c>
      <c r="H59" s="26" t="s">
        <v>511</v>
      </c>
    </row>
    <row r="60" spans="1:8" ht="39.75" customHeight="1" x14ac:dyDescent="0.2">
      <c r="A60" s="25" t="s">
        <v>598</v>
      </c>
      <c r="B60" s="26" t="s">
        <v>599</v>
      </c>
      <c r="C60" s="25" t="s">
        <v>532</v>
      </c>
      <c r="D60" s="26" t="s">
        <v>600</v>
      </c>
      <c r="E60" s="26" t="s">
        <v>592</v>
      </c>
      <c r="F60" s="26" t="s">
        <v>601</v>
      </c>
      <c r="G60" s="25" t="s">
        <v>523</v>
      </c>
      <c r="H60" s="26" t="s">
        <v>511</v>
      </c>
    </row>
    <row r="61" spans="1:8" ht="39.75" customHeight="1" x14ac:dyDescent="0.2">
      <c r="A61" s="25" t="s">
        <v>602</v>
      </c>
      <c r="B61" s="26" t="s">
        <v>603</v>
      </c>
      <c r="C61" s="25" t="s">
        <v>604</v>
      </c>
      <c r="D61" s="26" t="s">
        <v>605</v>
      </c>
      <c r="E61" s="26" t="s">
        <v>606</v>
      </c>
      <c r="F61" s="26" t="s">
        <v>607</v>
      </c>
      <c r="G61" s="25" t="s">
        <v>523</v>
      </c>
      <c r="H61" s="26" t="s">
        <v>608</v>
      </c>
    </row>
    <row r="62" spans="1:8" ht="39.75" customHeight="1" x14ac:dyDescent="0.2">
      <c r="A62" s="25" t="s">
        <v>609</v>
      </c>
      <c r="B62" s="26" t="s">
        <v>610</v>
      </c>
      <c r="C62" s="25" t="s">
        <v>508</v>
      </c>
      <c r="D62" s="26" t="s">
        <v>611</v>
      </c>
      <c r="E62" s="26" t="s">
        <v>584</v>
      </c>
      <c r="F62" s="26" t="s">
        <v>612</v>
      </c>
      <c r="G62" s="25" t="s">
        <v>523</v>
      </c>
      <c r="H62" s="26" t="s">
        <v>608</v>
      </c>
    </row>
    <row r="63" spans="1:8" ht="39.75" customHeight="1" x14ac:dyDescent="0.2">
      <c r="A63" s="25" t="s">
        <v>613</v>
      </c>
      <c r="B63" s="26" t="s">
        <v>496</v>
      </c>
      <c r="C63" s="25" t="s">
        <v>370</v>
      </c>
      <c r="D63" s="26" t="s">
        <v>614</v>
      </c>
      <c r="E63" s="26" t="s">
        <v>521</v>
      </c>
      <c r="F63" s="26" t="s">
        <v>615</v>
      </c>
      <c r="G63" s="25" t="s">
        <v>523</v>
      </c>
      <c r="H63" s="26" t="s">
        <v>616</v>
      </c>
    </row>
    <row r="64" spans="1:8" ht="39.75" customHeight="1" x14ac:dyDescent="0.2">
      <c r="A64" s="25" t="s">
        <v>617</v>
      </c>
      <c r="B64" s="26" t="s">
        <v>618</v>
      </c>
      <c r="C64" s="25" t="s">
        <v>463</v>
      </c>
      <c r="D64" s="26" t="s">
        <v>619</v>
      </c>
      <c r="E64" s="26" t="s">
        <v>620</v>
      </c>
      <c r="F64" s="26" t="s">
        <v>621</v>
      </c>
      <c r="G64" s="25" t="s">
        <v>523</v>
      </c>
      <c r="H64" s="26" t="s">
        <v>616</v>
      </c>
    </row>
    <row r="65" spans="1:8" ht="39.75" customHeight="1" x14ac:dyDescent="0.2">
      <c r="A65" s="25" t="s">
        <v>622</v>
      </c>
      <c r="B65" s="26" t="s">
        <v>623</v>
      </c>
      <c r="C65" s="25" t="s">
        <v>370</v>
      </c>
      <c r="D65" s="26" t="s">
        <v>624</v>
      </c>
      <c r="E65" s="26" t="s">
        <v>625</v>
      </c>
      <c r="F65" s="26" t="s">
        <v>626</v>
      </c>
      <c r="G65" s="25" t="s">
        <v>523</v>
      </c>
      <c r="H65" s="26" t="s">
        <v>627</v>
      </c>
    </row>
    <row r="66" spans="1:8" ht="39.75" customHeight="1" x14ac:dyDescent="0.2">
      <c r="A66" s="25" t="s">
        <v>628</v>
      </c>
      <c r="B66" s="26" t="s">
        <v>629</v>
      </c>
      <c r="C66" s="25" t="s">
        <v>532</v>
      </c>
      <c r="D66" s="26" t="s">
        <v>630</v>
      </c>
      <c r="E66" s="26" t="s">
        <v>592</v>
      </c>
      <c r="F66" s="26" t="s">
        <v>631</v>
      </c>
      <c r="G66" s="25" t="s">
        <v>523</v>
      </c>
      <c r="H66" s="26" t="s">
        <v>632</v>
      </c>
    </row>
    <row r="67" spans="1:8" ht="39.75" customHeight="1" x14ac:dyDescent="0.2">
      <c r="A67" s="25" t="s">
        <v>633</v>
      </c>
      <c r="B67" s="26" t="s">
        <v>496</v>
      </c>
      <c r="C67" s="25" t="s">
        <v>604</v>
      </c>
      <c r="D67" s="26" t="s">
        <v>634</v>
      </c>
      <c r="E67" s="26" t="s">
        <v>635</v>
      </c>
      <c r="F67" s="26" t="s">
        <v>564</v>
      </c>
      <c r="G67" s="25" t="s">
        <v>636</v>
      </c>
      <c r="H67" s="26" t="s">
        <v>632</v>
      </c>
    </row>
    <row r="68" spans="1:8" ht="39.75" customHeight="1" x14ac:dyDescent="0.2">
      <c r="A68" s="25" t="s">
        <v>637</v>
      </c>
      <c r="B68" s="26" t="s">
        <v>638</v>
      </c>
      <c r="C68" s="25" t="s">
        <v>532</v>
      </c>
      <c r="D68" s="26" t="s">
        <v>639</v>
      </c>
      <c r="E68" s="26" t="s">
        <v>592</v>
      </c>
      <c r="F68" s="26" t="s">
        <v>640</v>
      </c>
      <c r="G68" s="25" t="s">
        <v>523</v>
      </c>
      <c r="H68" s="26" t="s">
        <v>641</v>
      </c>
    </row>
    <row r="69" spans="1:8" ht="39.75" customHeight="1" x14ac:dyDescent="0.2">
      <c r="A69" s="34" t="s">
        <v>642</v>
      </c>
      <c r="B69" s="35"/>
      <c r="C69" s="35"/>
      <c r="D69" s="35"/>
      <c r="E69" s="35"/>
      <c r="F69" s="35"/>
      <c r="G69" s="35"/>
      <c r="H69" s="36"/>
    </row>
    <row r="70" spans="1:8" ht="39.75" customHeight="1" x14ac:dyDescent="0.2">
      <c r="A70" s="25" t="s">
        <v>643</v>
      </c>
      <c r="B70" s="26" t="s">
        <v>644</v>
      </c>
      <c r="C70" s="25" t="s">
        <v>532</v>
      </c>
      <c r="D70" s="26" t="s">
        <v>645</v>
      </c>
      <c r="E70" s="26" t="s">
        <v>646</v>
      </c>
      <c r="F70" s="26" t="s">
        <v>647</v>
      </c>
      <c r="G70" s="25" t="s">
        <v>648</v>
      </c>
      <c r="H70" s="26" t="s">
        <v>649</v>
      </c>
    </row>
    <row r="71" spans="1:8" ht="39.75" customHeight="1" x14ac:dyDescent="0.2">
      <c r="A71" s="25" t="s">
        <v>650</v>
      </c>
      <c r="B71" s="26" t="s">
        <v>644</v>
      </c>
      <c r="C71" s="25" t="s">
        <v>532</v>
      </c>
      <c r="D71" s="26" t="s">
        <v>651</v>
      </c>
      <c r="E71" s="26" t="s">
        <v>646</v>
      </c>
      <c r="F71" s="26" t="s">
        <v>647</v>
      </c>
      <c r="G71" s="25" t="s">
        <v>648</v>
      </c>
      <c r="H71" s="26" t="s">
        <v>652</v>
      </c>
    </row>
    <row r="72" spans="1:8" ht="39.75" customHeight="1" x14ac:dyDescent="0.2">
      <c r="A72" s="25" t="s">
        <v>653</v>
      </c>
      <c r="B72" s="26" t="s">
        <v>654</v>
      </c>
      <c r="C72" s="25" t="s">
        <v>370</v>
      </c>
      <c r="D72" s="26" t="s">
        <v>655</v>
      </c>
      <c r="E72" s="26" t="s">
        <v>656</v>
      </c>
      <c r="F72" s="26" t="s">
        <v>657</v>
      </c>
      <c r="G72" s="25" t="s">
        <v>648</v>
      </c>
      <c r="H72" s="26" t="s">
        <v>367</v>
      </c>
    </row>
    <row r="73" spans="1:8" ht="39.75" customHeight="1" x14ac:dyDescent="0.2">
      <c r="A73" s="25" t="s">
        <v>658</v>
      </c>
      <c r="B73" s="26" t="s">
        <v>659</v>
      </c>
      <c r="C73" s="25" t="s">
        <v>532</v>
      </c>
      <c r="D73" s="26" t="s">
        <v>660</v>
      </c>
      <c r="E73" s="26" t="s">
        <v>661</v>
      </c>
      <c r="F73" s="26" t="s">
        <v>662</v>
      </c>
      <c r="G73" s="25" t="s">
        <v>663</v>
      </c>
      <c r="H73" s="26" t="s">
        <v>664</v>
      </c>
    </row>
    <row r="74" spans="1:8" ht="39.75" customHeight="1" x14ac:dyDescent="0.2">
      <c r="A74" s="25" t="s">
        <v>665</v>
      </c>
      <c r="B74" s="26" t="s">
        <v>666</v>
      </c>
      <c r="C74" s="25" t="s">
        <v>317</v>
      </c>
      <c r="D74" s="26" t="s">
        <v>667</v>
      </c>
      <c r="E74" s="26" t="s">
        <v>668</v>
      </c>
      <c r="F74" s="26" t="s">
        <v>669</v>
      </c>
      <c r="G74" s="25" t="s">
        <v>670</v>
      </c>
      <c r="H74" s="26" t="s">
        <v>671</v>
      </c>
    </row>
    <row r="75" spans="1:8" ht="39.75" customHeight="1" x14ac:dyDescent="0.2">
      <c r="A75" s="34" t="s">
        <v>672</v>
      </c>
      <c r="B75" s="35"/>
      <c r="C75" s="35"/>
      <c r="D75" s="35"/>
      <c r="E75" s="35"/>
      <c r="F75" s="35"/>
      <c r="G75" s="35"/>
      <c r="H75" s="36"/>
    </row>
    <row r="76" spans="1:8" ht="39.75" customHeight="1" x14ac:dyDescent="0.2">
      <c r="A76" s="25" t="s">
        <v>673</v>
      </c>
      <c r="B76" s="26" t="s">
        <v>564</v>
      </c>
      <c r="C76" s="25" t="s">
        <v>564</v>
      </c>
      <c r="D76" s="26" t="s">
        <v>674</v>
      </c>
      <c r="E76" s="26" t="s">
        <v>675</v>
      </c>
      <c r="F76" s="26" t="s">
        <v>564</v>
      </c>
      <c r="G76" s="25" t="s">
        <v>676</v>
      </c>
      <c r="H76" s="26" t="s">
        <v>677</v>
      </c>
    </row>
    <row r="77" spans="1:8" ht="39.75" customHeight="1" x14ac:dyDescent="0.2">
      <c r="A77" s="20"/>
      <c r="B77" s="21"/>
      <c r="C77" s="20"/>
      <c r="D77" s="21"/>
      <c r="E77" s="21"/>
      <c r="F77" s="21"/>
      <c r="G77" s="20"/>
      <c r="H77" s="21"/>
    </row>
    <row r="78" spans="1:8" ht="39.75" customHeight="1" x14ac:dyDescent="0.2">
      <c r="H78" s="21"/>
    </row>
    <row r="79" spans="1:8" ht="39.75" customHeight="1" x14ac:dyDescent="0.2">
      <c r="H79" s="21"/>
    </row>
    <row r="80" spans="1:8" ht="19.5" customHeight="1" x14ac:dyDescent="0.2"/>
    <row r="81" spans="8:8" ht="39.75" customHeight="1" x14ac:dyDescent="0.2">
      <c r="H81" s="21"/>
    </row>
    <row r="82" spans="8:8" ht="31.5" customHeight="1" x14ac:dyDescent="0.2"/>
    <row r="83" spans="8:8" ht="31.5" customHeight="1" x14ac:dyDescent="0.2"/>
    <row r="84" spans="8:8" ht="31.5" customHeight="1" x14ac:dyDescent="0.2"/>
    <row r="85" spans="8:8" ht="31.5" customHeight="1" x14ac:dyDescent="0.2"/>
    <row r="86" spans="8:8" ht="31.5" customHeight="1" x14ac:dyDescent="0.2"/>
    <row r="87" spans="8:8" ht="21.75" customHeight="1" x14ac:dyDescent="0.2"/>
  </sheetData>
  <mergeCells count="6">
    <mergeCell ref="A75:H75"/>
    <mergeCell ref="A4:H4"/>
    <mergeCell ref="A32:H32"/>
    <mergeCell ref="A36:H36"/>
    <mergeCell ref="A42:H42"/>
    <mergeCell ref="A69:H6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zoomScaleNormal="100" workbookViewId="0">
      <selection activeCell="C13" sqref="C13"/>
    </sheetView>
  </sheetViews>
  <sheetFormatPr baseColWidth="10" defaultColWidth="8.6640625" defaultRowHeight="15" x14ac:dyDescent="0.2"/>
  <cols>
    <col min="1" max="2" width="18" customWidth="1"/>
    <col min="3" max="3" width="96" customWidth="1"/>
  </cols>
  <sheetData>
    <row r="1" spans="1:3" ht="19.5" customHeight="1" x14ac:dyDescent="0.2">
      <c r="A1" s="2" t="s">
        <v>697</v>
      </c>
    </row>
    <row r="3" spans="1:3" ht="15" customHeight="1" x14ac:dyDescent="0.2">
      <c r="A3" s="22" t="s">
        <v>678</v>
      </c>
      <c r="B3" s="22" t="s">
        <v>17</v>
      </c>
      <c r="C3" s="22" t="s">
        <v>679</v>
      </c>
    </row>
    <row r="4" spans="1:3" ht="31.5" customHeight="1" x14ac:dyDescent="0.2">
      <c r="A4" s="23" t="s">
        <v>680</v>
      </c>
      <c r="B4" s="23" t="s">
        <v>681</v>
      </c>
      <c r="C4" s="24" t="s">
        <v>682</v>
      </c>
    </row>
    <row r="5" spans="1:3" ht="31.5" customHeight="1" x14ac:dyDescent="0.2">
      <c r="A5" s="23" t="s">
        <v>683</v>
      </c>
      <c r="B5" s="23" t="s">
        <v>684</v>
      </c>
      <c r="C5" s="24" t="s">
        <v>685</v>
      </c>
    </row>
    <row r="6" spans="1:3" ht="31.5" customHeight="1" x14ac:dyDescent="0.2">
      <c r="A6" s="23" t="s">
        <v>686</v>
      </c>
      <c r="B6" s="23" t="s">
        <v>687</v>
      </c>
      <c r="C6" s="24" t="s">
        <v>688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Mission Profiles</vt:lpstr>
      <vt:lpstr>Bibliography</vt:lpstr>
      <vt:lpstr>ΔV Banding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[Student] James Beioley</cp:lastModifiedBy>
  <cp:revision>0</cp:revision>
  <dcterms:created xsi:type="dcterms:W3CDTF">2026-08-06T11:52:57Z</dcterms:created>
  <dcterms:modified xsi:type="dcterms:W3CDTF">2026-08-06T13:40:48Z</dcterms:modified>
  <dc:language>en-US</dc:language>
</cp:coreProperties>
</file>